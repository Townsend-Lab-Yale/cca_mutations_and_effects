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700" windowHeight="11760" firstSheet="2" activeTab="8"/>
  </bookViews>
  <sheets>
    <sheet name="ST1. CHOL Sample Info" sheetId="3" r:id="rId1"/>
    <sheet name="ST2. Validation Gene Mutations" sheetId="4" r:id="rId2"/>
    <sheet name="ST3. Fusions" sheetId="12" r:id="rId3"/>
    <sheet name="ST4. Liver Genes" sheetId="14" r:id="rId4"/>
    <sheet name="ST5. Novel Gene Sets" sheetId="7" r:id="rId5"/>
    <sheet name="ST6. GSEA up C1" sheetId="11" r:id="rId6"/>
    <sheet name="ST7. Mito Chr Mod Genes" sheetId="5" r:id="rId7"/>
    <sheet name="ST8. CCA HCC PDAC Mut" sheetId="13" r:id="rId8"/>
    <sheet name="ST9. CHOL LIHC PAAD Samples" sheetId="2" r:id="rId9"/>
  </sheets>
  <definedNames>
    <definedName name="_xlnm._FilterDatabase" localSheetId="0" hidden="1">'ST1. CHOL Sample Info'!$A$4:$EL$4</definedName>
  </definedNames>
  <calcPr calcId="145621"/>
</workbook>
</file>

<file path=xl/calcChain.xml><?xml version="1.0" encoding="utf-8"?>
<calcChain xmlns="http://schemas.openxmlformats.org/spreadsheetml/2006/main">
  <c r="M125" i="4" l="1"/>
  <c r="J125" i="4"/>
  <c r="M124" i="4"/>
  <c r="J124" i="4"/>
  <c r="M123" i="4"/>
  <c r="J123" i="4"/>
  <c r="M122" i="4"/>
  <c r="J122" i="4"/>
  <c r="M121" i="4"/>
  <c r="J121" i="4"/>
  <c r="M120" i="4"/>
  <c r="J120" i="4"/>
  <c r="M119" i="4"/>
  <c r="J119" i="4"/>
  <c r="M118" i="4"/>
  <c r="J118" i="4"/>
  <c r="M117" i="4"/>
  <c r="J117" i="4"/>
  <c r="M116" i="4"/>
  <c r="J116" i="4"/>
  <c r="M115" i="4"/>
  <c r="J115" i="4"/>
  <c r="M114" i="4"/>
  <c r="J114" i="4"/>
  <c r="M113" i="4"/>
  <c r="J113" i="4"/>
  <c r="M112" i="4"/>
  <c r="J112" i="4"/>
  <c r="M111" i="4"/>
  <c r="J111" i="4"/>
  <c r="M110" i="4"/>
  <c r="J110" i="4"/>
  <c r="M109" i="4"/>
  <c r="J109" i="4"/>
  <c r="M108" i="4"/>
  <c r="J108" i="4"/>
  <c r="M107" i="4"/>
  <c r="J107" i="4"/>
  <c r="M106" i="4"/>
  <c r="J106" i="4"/>
  <c r="M105" i="4"/>
  <c r="J105" i="4"/>
  <c r="M104" i="4"/>
  <c r="J104" i="4"/>
  <c r="M103" i="4"/>
  <c r="J103" i="4"/>
  <c r="M102" i="4"/>
  <c r="J102" i="4"/>
  <c r="M101" i="4"/>
  <c r="J101" i="4"/>
  <c r="M100" i="4"/>
  <c r="J100" i="4"/>
  <c r="M99" i="4"/>
  <c r="J99" i="4"/>
  <c r="M98" i="4"/>
  <c r="J98" i="4"/>
  <c r="M97" i="4"/>
  <c r="J97" i="4"/>
  <c r="M96" i="4"/>
  <c r="J96" i="4"/>
  <c r="M95" i="4"/>
  <c r="J95" i="4"/>
  <c r="M94" i="4"/>
  <c r="J94" i="4"/>
  <c r="M93" i="4"/>
  <c r="J93" i="4"/>
  <c r="M92" i="4"/>
  <c r="J92" i="4"/>
  <c r="M91" i="4"/>
  <c r="J91" i="4"/>
  <c r="M90" i="4"/>
  <c r="J90" i="4"/>
  <c r="M89" i="4"/>
  <c r="J89" i="4"/>
  <c r="M88" i="4"/>
  <c r="J88" i="4"/>
  <c r="M87" i="4"/>
  <c r="J87" i="4"/>
  <c r="M86" i="4"/>
  <c r="J86" i="4"/>
  <c r="M85" i="4"/>
  <c r="J85" i="4"/>
  <c r="M84" i="4"/>
  <c r="J84" i="4"/>
  <c r="M83" i="4"/>
  <c r="J83" i="4"/>
  <c r="M82" i="4"/>
  <c r="J82" i="4"/>
  <c r="M81" i="4"/>
  <c r="J81" i="4"/>
  <c r="M80" i="4"/>
  <c r="J80" i="4"/>
  <c r="M79" i="4"/>
  <c r="J79" i="4"/>
  <c r="M78" i="4"/>
  <c r="J78" i="4"/>
  <c r="M77" i="4"/>
  <c r="J77" i="4"/>
  <c r="M76" i="4"/>
  <c r="J76" i="4"/>
  <c r="M75" i="4"/>
  <c r="J75" i="4"/>
  <c r="M74" i="4"/>
  <c r="J74" i="4"/>
  <c r="M73" i="4"/>
  <c r="J73" i="4"/>
  <c r="M72" i="4"/>
  <c r="J72" i="4"/>
  <c r="M71" i="4"/>
  <c r="J71" i="4"/>
  <c r="M70" i="4"/>
  <c r="J70" i="4"/>
  <c r="M69" i="4"/>
  <c r="J69" i="4"/>
  <c r="M68" i="4"/>
  <c r="J68" i="4"/>
  <c r="M67" i="4"/>
  <c r="J67" i="4"/>
  <c r="M66" i="4"/>
  <c r="J66" i="4"/>
  <c r="M65" i="4"/>
  <c r="J65" i="4"/>
  <c r="M64" i="4"/>
  <c r="J64" i="4"/>
  <c r="M63" i="4"/>
  <c r="J63" i="4"/>
  <c r="M62" i="4"/>
  <c r="J62" i="4"/>
  <c r="M61" i="4"/>
  <c r="J61" i="4"/>
  <c r="M60" i="4"/>
  <c r="J60" i="4"/>
  <c r="M59" i="4"/>
  <c r="J59" i="4"/>
  <c r="M58" i="4"/>
  <c r="J58" i="4"/>
  <c r="M57" i="4"/>
  <c r="J57" i="4"/>
  <c r="M56" i="4"/>
  <c r="J56" i="4"/>
  <c r="M55" i="4"/>
  <c r="J55" i="4"/>
  <c r="M54" i="4"/>
  <c r="J54" i="4"/>
  <c r="M53" i="4"/>
  <c r="J53" i="4"/>
  <c r="M52" i="4"/>
  <c r="J52" i="4"/>
  <c r="M51" i="4"/>
  <c r="J51" i="4"/>
  <c r="M50" i="4"/>
  <c r="J50" i="4"/>
  <c r="M49" i="4"/>
  <c r="J49" i="4"/>
  <c r="M48" i="4"/>
  <c r="J48" i="4"/>
  <c r="M47" i="4"/>
  <c r="J47" i="4"/>
  <c r="M46" i="4"/>
  <c r="J46" i="4"/>
  <c r="M45" i="4"/>
  <c r="J45" i="4"/>
  <c r="M44" i="4"/>
  <c r="J44" i="4"/>
  <c r="M43" i="4"/>
  <c r="J43" i="4"/>
  <c r="M42" i="4"/>
  <c r="J42" i="4"/>
  <c r="M41" i="4"/>
  <c r="J41" i="4"/>
  <c r="M40" i="4"/>
  <c r="J40" i="4"/>
  <c r="M39" i="4"/>
  <c r="J39" i="4"/>
  <c r="M38" i="4"/>
  <c r="J38" i="4"/>
  <c r="M37" i="4"/>
  <c r="J37" i="4"/>
  <c r="M36" i="4"/>
  <c r="J36" i="4"/>
  <c r="M35" i="4"/>
  <c r="J35" i="4"/>
  <c r="M34" i="4"/>
  <c r="J34" i="4"/>
  <c r="M33" i="4"/>
  <c r="J33" i="4"/>
  <c r="M32" i="4"/>
  <c r="J32" i="4"/>
  <c r="M31" i="4"/>
  <c r="J31" i="4"/>
  <c r="M30" i="4"/>
  <c r="J30" i="4"/>
  <c r="M29" i="4"/>
  <c r="J29" i="4"/>
  <c r="M28" i="4"/>
  <c r="J28" i="4"/>
  <c r="M27" i="4"/>
  <c r="J27" i="4"/>
  <c r="M26" i="4"/>
  <c r="J26" i="4"/>
  <c r="M25" i="4"/>
  <c r="J25" i="4"/>
  <c r="M24" i="4"/>
  <c r="J24" i="4"/>
  <c r="M23" i="4"/>
  <c r="J23" i="4"/>
  <c r="M22" i="4"/>
  <c r="J22" i="4"/>
  <c r="M21" i="4"/>
  <c r="J21" i="4"/>
  <c r="M20" i="4"/>
  <c r="J20" i="4"/>
  <c r="M19" i="4"/>
  <c r="J19" i="4"/>
  <c r="M18" i="4"/>
  <c r="J18" i="4"/>
  <c r="M17" i="4"/>
  <c r="J17" i="4"/>
  <c r="M16" i="4"/>
  <c r="J16" i="4"/>
  <c r="M15" i="4"/>
  <c r="J15" i="4"/>
  <c r="M14" i="4"/>
  <c r="J14" i="4"/>
  <c r="M13" i="4"/>
  <c r="J13" i="4"/>
  <c r="M12" i="4"/>
  <c r="J12" i="4"/>
  <c r="M11" i="4"/>
  <c r="J11" i="4"/>
  <c r="M10" i="4"/>
  <c r="J10" i="4"/>
  <c r="M9" i="4"/>
  <c r="J9" i="4"/>
  <c r="M8" i="4"/>
  <c r="J8" i="4"/>
  <c r="M7" i="4"/>
  <c r="J7" i="4"/>
  <c r="M6" i="4"/>
  <c r="J6" i="4"/>
  <c r="M5" i="4"/>
  <c r="J5" i="4"/>
  <c r="M4" i="4"/>
  <c r="J4" i="4"/>
</calcChain>
</file>

<file path=xl/sharedStrings.xml><?xml version="1.0" encoding="utf-8"?>
<sst xmlns="http://schemas.openxmlformats.org/spreadsheetml/2006/main" count="10206" uniqueCount="3768">
  <si>
    <t>Unknown</t>
  </si>
  <si>
    <t>G1</t>
  </si>
  <si>
    <t>G4</t>
  </si>
  <si>
    <t xml:space="preserve">Unknown </t>
  </si>
  <si>
    <t>T1</t>
  </si>
  <si>
    <t>T3</t>
  </si>
  <si>
    <t>Sample</t>
  </si>
  <si>
    <t>purity</t>
  </si>
  <si>
    <t>ploidy</t>
  </si>
  <si>
    <t>CN cluster k5</t>
  </si>
  <si>
    <t>miRNA_cluster_k4</t>
  </si>
  <si>
    <t>mRNA Yulia -liver TumorMap k=7</t>
  </si>
  <si>
    <t>RPPA k=6</t>
  </si>
  <si>
    <t>TP53</t>
  </si>
  <si>
    <t>KRAS</t>
  </si>
  <si>
    <t>CTNNB1</t>
  </si>
  <si>
    <t>BAP1</t>
  </si>
  <si>
    <t>PBRM1</t>
  </si>
  <si>
    <t>ARID1A</t>
  </si>
  <si>
    <t>ARID1B</t>
  </si>
  <si>
    <t>IDH</t>
  </si>
  <si>
    <t>FGFR2 Fus</t>
  </si>
  <si>
    <t>type</t>
  </si>
  <si>
    <t>CHOL score</t>
  </si>
  <si>
    <t>TCGA-4G-AAZO</t>
  </si>
  <si>
    <t>FS_Del</t>
  </si>
  <si>
    <t>FS_Ins</t>
  </si>
  <si>
    <t>CHOL</t>
  </si>
  <si>
    <t>TCGA-ZH-A8Y5</t>
  </si>
  <si>
    <t>TCGA-ZD-A8I3</t>
  </si>
  <si>
    <t>TCGA-W5-AA2Z</t>
  </si>
  <si>
    <t>Fusion</t>
  </si>
  <si>
    <t>TCGA-ZH-A8Y1</t>
  </si>
  <si>
    <t>Non</t>
  </si>
  <si>
    <t>TCGA-W5-AA2T</t>
  </si>
  <si>
    <t>TCGA-ZH-A8Y4</t>
  </si>
  <si>
    <t>TCGA-W5-AA33</t>
  </si>
  <si>
    <t>TCGA-W5-AA2W</t>
  </si>
  <si>
    <t>TCGA-W5-AA2Q</t>
  </si>
  <si>
    <t>TCGA-ZH-A8Y8</t>
  </si>
  <si>
    <t>Q61</t>
  </si>
  <si>
    <t>TCGA-W5-AA2U</t>
  </si>
  <si>
    <t>TCGA-3X-AAVA</t>
  </si>
  <si>
    <t>R172</t>
  </si>
  <si>
    <t>TCGA-3X-AAVE</t>
  </si>
  <si>
    <t>TCGA-W5-AA2I</t>
  </si>
  <si>
    <t>Mis</t>
  </si>
  <si>
    <t>IF_Ins</t>
  </si>
  <si>
    <t>TCGA-YR-A95A</t>
  </si>
  <si>
    <t>R132</t>
  </si>
  <si>
    <t>TCGA-FV-A3I0</t>
  </si>
  <si>
    <t>IF_Del</t>
  </si>
  <si>
    <t>TCGA-ZH-A8Y2</t>
  </si>
  <si>
    <t>TCGA-W5-AA30</t>
  </si>
  <si>
    <t>TCGA-W6-AA0S</t>
  </si>
  <si>
    <t>TCGA-W5-AA34</t>
  </si>
  <si>
    <t>TCGA-BC-A10Q</t>
  </si>
  <si>
    <t>TCGA-W5-AA2R</t>
  </si>
  <si>
    <t>DEL</t>
  </si>
  <si>
    <t>TCGA-WD-A7RX</t>
  </si>
  <si>
    <t>TCGA-W5-AA2O</t>
  </si>
  <si>
    <t>TCGA-3X-AAV9</t>
  </si>
  <si>
    <t>TCGA-W5-AA2G</t>
  </si>
  <si>
    <t>TCGA-4G-AAZT</t>
  </si>
  <si>
    <t>Splice Site</t>
  </si>
  <si>
    <t>TCGA-W5-AA31</t>
  </si>
  <si>
    <t>TCGA-3X-AAVB</t>
  </si>
  <si>
    <t>G12</t>
  </si>
  <si>
    <t>TCGA-W5-AA2X</t>
  </si>
  <si>
    <t>TCGA-W5-AA38</t>
  </si>
  <si>
    <t>TCGA-ZH-A8Y6</t>
  </si>
  <si>
    <t>NA</t>
  </si>
  <si>
    <t>TCGA-ZU-A8S4</t>
  </si>
  <si>
    <t>TCGA-UB-A7MA</t>
  </si>
  <si>
    <t>TCGA-W5-AA2H</t>
  </si>
  <si>
    <t>TCGA-W5-AA39</t>
  </si>
  <si>
    <t>TCGA-KR-A7K2</t>
  </si>
  <si>
    <t>TCGA-CC-5260</t>
  </si>
  <si>
    <t>LIHC</t>
  </si>
  <si>
    <t>TCGA-ED-A82E</t>
  </si>
  <si>
    <t>TCGA-CC-A3MA</t>
  </si>
  <si>
    <t>TCGA-G3-A25T</t>
  </si>
  <si>
    <t>TCGA-DD-A4NA</t>
  </si>
  <si>
    <t>TCGA-G3-A7M6</t>
  </si>
  <si>
    <t>TCGA-ED-A7PX</t>
  </si>
  <si>
    <t>TCGA-BC-A112</t>
  </si>
  <si>
    <t>TCGA-CC-A7IJ</t>
  </si>
  <si>
    <t>TCGA-CC-A1HT</t>
  </si>
  <si>
    <t>TCGA-CC-5261</t>
  </si>
  <si>
    <t>TCGA-ED-A5KG</t>
  </si>
  <si>
    <t>TCGA-DD-A4NS</t>
  </si>
  <si>
    <t>TCGA-G3-A5SJ</t>
  </si>
  <si>
    <t>other</t>
  </si>
  <si>
    <t>TCGA-ED-A627</t>
  </si>
  <si>
    <t>TCGA-G3-A7M9</t>
  </si>
  <si>
    <t>TCGA-CC-A3M9</t>
  </si>
  <si>
    <t>TCGA-G3-A25Y</t>
  </si>
  <si>
    <t>TCGA-CC-5263</t>
  </si>
  <si>
    <t>TCGA-DD-A114</t>
  </si>
  <si>
    <t>TCGA-RC-A6M3</t>
  </si>
  <si>
    <t>TCGA-DD-A4NH</t>
  </si>
  <si>
    <t>TCGA-DD-A4NB</t>
  </si>
  <si>
    <t>TCGA-RC-A6M6</t>
  </si>
  <si>
    <t>TCGA-ED-A66X</t>
  </si>
  <si>
    <t>TCGA-BC-4073</t>
  </si>
  <si>
    <t>TCGA-CC-A7II</t>
  </si>
  <si>
    <t>TCGA-DD-A4ND</t>
  </si>
  <si>
    <t>TCGA-DD-A1EC</t>
  </si>
  <si>
    <t>TCGA-CC-A5UD</t>
  </si>
  <si>
    <t>exon3</t>
  </si>
  <si>
    <t>TCGA-RC-A6M5</t>
  </si>
  <si>
    <t>TCGA-DD-A4NR</t>
  </si>
  <si>
    <t>TCGA-DD-A4NN</t>
  </si>
  <si>
    <t>TCGA-ED-A4XI</t>
  </si>
  <si>
    <t>TCGA-K7-A5RG</t>
  </si>
  <si>
    <t>TCGA-DD-A113</t>
  </si>
  <si>
    <t>TCGA-DD-A1EH</t>
  </si>
  <si>
    <t>TCGA-ED-A66Y</t>
  </si>
  <si>
    <t>TCGA-UB-A7ME</t>
  </si>
  <si>
    <t>TCGA-BC-A10W</t>
  </si>
  <si>
    <t>TCGA-BD-A3EP</t>
  </si>
  <si>
    <t>TCGA-DD-A1EI</t>
  </si>
  <si>
    <t>TCGA-BC-A216</t>
  </si>
  <si>
    <t>TCGA-BC-A217</t>
  </si>
  <si>
    <t>TCGA-BC-A110</t>
  </si>
  <si>
    <t>TCGA-BC-A10R</t>
  </si>
  <si>
    <t>TCGA-K7-A5RF</t>
  </si>
  <si>
    <t>TCGA-HP-A5MZ</t>
  </si>
  <si>
    <t>TCGA-ED-A7XP</t>
  </si>
  <si>
    <t>TCGA-CC-A7IG</t>
  </si>
  <si>
    <t>TCGA-FV-A3I1</t>
  </si>
  <si>
    <t>TCGA-DD-A4NQ</t>
  </si>
  <si>
    <t>TCGA-BW-A5NP</t>
  </si>
  <si>
    <t>TCGA-CC-A3MC</t>
  </si>
  <si>
    <t>TCGA-BC-A10X</t>
  </si>
  <si>
    <t>TCGA-HP-A5N0</t>
  </si>
  <si>
    <t>TCGA-EP-A2KA</t>
  </si>
  <si>
    <t>TCGA-ED-A7PY</t>
  </si>
  <si>
    <t>TCGA-BC-A10T</t>
  </si>
  <si>
    <t>TCGA-EP-A3RK</t>
  </si>
  <si>
    <t>TCGA-CC-5264</t>
  </si>
  <si>
    <t>TCGA-CC-A5UE</t>
  </si>
  <si>
    <t>TCGA-BC-A3KG</t>
  </si>
  <si>
    <t>TCGA-PD-A5DF</t>
  </si>
  <si>
    <t>TCGA-ED-A459</t>
  </si>
  <si>
    <t>TCGA-G3-A3CI</t>
  </si>
  <si>
    <t>TCGA-G3-A25V</t>
  </si>
  <si>
    <t>TCGA-DD-A1EJ</t>
  </si>
  <si>
    <t>TCGA-BC-A10U</t>
  </si>
  <si>
    <t>TCGA-MI-A75E</t>
  </si>
  <si>
    <t>TCGA-MI-A75C</t>
  </si>
  <si>
    <t>TCGA-G3-A3CH</t>
  </si>
  <si>
    <t>TCGA-FV-A495</t>
  </si>
  <si>
    <t>TCGA-DD-A4NL</t>
  </si>
  <si>
    <t>TCGA-CC-A5UC</t>
  </si>
  <si>
    <t>TCGA-DD-A39X</t>
  </si>
  <si>
    <t>TCGA-CC-A7IF</t>
  </si>
  <si>
    <t>TCGA-UB-A7MF</t>
  </si>
  <si>
    <t>TCGA-G3-A5SM</t>
  </si>
  <si>
    <t>TCGA-MI-A75I</t>
  </si>
  <si>
    <t>TCGA-DD-A11C</t>
  </si>
  <si>
    <t>TCGA-UB-A7MD</t>
  </si>
  <si>
    <t>TCGA-DD-A1EL</t>
  </si>
  <si>
    <t>TCGA-RC-A7SB</t>
  </si>
  <si>
    <t>TCGA-RC-A7S9</t>
  </si>
  <si>
    <t>TCGA-DD-A1ED</t>
  </si>
  <si>
    <t>TCGA-DD-A3A9</t>
  </si>
  <si>
    <t>TCGA-CC-5258</t>
  </si>
  <si>
    <t>TCGA-RG-A7D4</t>
  </si>
  <si>
    <t>TCGA-EP-A3JL</t>
  </si>
  <si>
    <t>TCGA-QA-A7B7</t>
  </si>
  <si>
    <t>TCGA-FV-A23B</t>
  </si>
  <si>
    <t>TCGA-KR-A7K0</t>
  </si>
  <si>
    <t>TCGA-O8-A75V</t>
  </si>
  <si>
    <t>TCGA-BW-A5NO</t>
  </si>
  <si>
    <t>TCGA-DD-A73F</t>
  </si>
  <si>
    <t>TCGA-DD-A115</t>
  </si>
  <si>
    <t>TCGA-DD-A1EF</t>
  </si>
  <si>
    <t>TCGA-DD-A4NI</t>
  </si>
  <si>
    <t>TCGA-DD-A1EG</t>
  </si>
  <si>
    <t>TCGA-UB-A7MC</t>
  </si>
  <si>
    <t>TCGA-KR-A7K8</t>
  </si>
  <si>
    <t>TCGA-DD-A11A</t>
  </si>
  <si>
    <t>TCGA-UB-A7MB</t>
  </si>
  <si>
    <t>TCGA-EP-A2KC</t>
  </si>
  <si>
    <t>TCGA-CC-5262</t>
  </si>
  <si>
    <t>TCGA-G3-A7M8</t>
  </si>
  <si>
    <t>TCGA-DD-A4NO</t>
  </si>
  <si>
    <t>TCGA-BC-A69H</t>
  </si>
  <si>
    <t>TCGA-DD-A73A</t>
  </si>
  <si>
    <t>TCGA-FV-A2QQ</t>
  </si>
  <si>
    <t>TCGA-DD-A4NV</t>
  </si>
  <si>
    <t>TCGA-DD-A118</t>
  </si>
  <si>
    <t>TCGA-DD-A11B</t>
  </si>
  <si>
    <t>TCGA-FV-A496</t>
  </si>
  <si>
    <t>TCGA-FV-A2QR</t>
  </si>
  <si>
    <t>TCGA-DD-A1EK</t>
  </si>
  <si>
    <t>TCGA-CC-A3MB</t>
  </si>
  <si>
    <t>TCGA-KR-A7K7</t>
  </si>
  <si>
    <t>TCGA-BW-A5NQ</t>
  </si>
  <si>
    <t>TCGA-BC-A10Y</t>
  </si>
  <si>
    <t>TCGA-DD-A3A3</t>
  </si>
  <si>
    <t>TCGA-DD-A73C</t>
  </si>
  <si>
    <t>TCGA-FV-A4ZQ</t>
  </si>
  <si>
    <t>TCGA-ED-A7PZ</t>
  </si>
  <si>
    <t>TCGA-BC-A5W4</t>
  </si>
  <si>
    <t>TCGA-RC-A7SK</t>
  </si>
  <si>
    <t>TCGA-DD-A1EA</t>
  </si>
  <si>
    <t>TCGA-DD-A39Y</t>
  </si>
  <si>
    <t>TCGA-DD-A3A1</t>
  </si>
  <si>
    <t>TCGA-DD-A116</t>
  </si>
  <si>
    <t>TCGA-DD-A4NF</t>
  </si>
  <si>
    <t>TCGA-BC-A3KF</t>
  </si>
  <si>
    <t>TCGA-RC-A7SF</t>
  </si>
  <si>
    <t>TCGA-NI-A4U2</t>
  </si>
  <si>
    <t>TCGA-EP-A2KB</t>
  </si>
  <si>
    <t>TCGA-G3-A25Z</t>
  </si>
  <si>
    <t>TCGA-DD-A11D</t>
  </si>
  <si>
    <t>TCGA-EP-A26S</t>
  </si>
  <si>
    <t>TCGA-BC-A10Z</t>
  </si>
  <si>
    <t>TCGA-CC-A7IK</t>
  </si>
  <si>
    <t>TCGA-MR-A520</t>
  </si>
  <si>
    <t>TCGA-G3-A7M7</t>
  </si>
  <si>
    <t>TCGA-EP-A12J</t>
  </si>
  <si>
    <t>TCGA-DD-A73G</t>
  </si>
  <si>
    <t>TCGA-MI-A75H</t>
  </si>
  <si>
    <t>TCGA-LG-A6GG</t>
  </si>
  <si>
    <t>TCGA-DD-A4NP</t>
  </si>
  <si>
    <t>TCGA-BD-A2L6</t>
  </si>
  <si>
    <t>TCGA-CC-A7IH</t>
  </si>
  <si>
    <t>TCGA-DD-A119</t>
  </si>
  <si>
    <t>TCGA-DD-A3A8</t>
  </si>
  <si>
    <t>TCGA-K7-A6G5</t>
  </si>
  <si>
    <t>TCGA-DD-A73B</t>
  </si>
  <si>
    <t>TCGA-G3-A5SI</t>
  </si>
  <si>
    <t>TCGA-G3-A3CK</t>
  </si>
  <si>
    <t>TCGA-DD-A39V</t>
  </si>
  <si>
    <t>TCGA-ES-A2HT</t>
  </si>
  <si>
    <t>TCGA-DD-A3A7</t>
  </si>
  <si>
    <t>TCGA-DD-A3A4</t>
  </si>
  <si>
    <t>TCGA-DD-A3A5</t>
  </si>
  <si>
    <t>TCGA-DD-A1EB</t>
  </si>
  <si>
    <t>TCGA-DD-A73E</t>
  </si>
  <si>
    <t>TCGA-DD-A39Z</t>
  </si>
  <si>
    <t>TCGA-G3-A5SL</t>
  </si>
  <si>
    <t>TCGA-G3-A25S</t>
  </si>
  <si>
    <t>TCGA-DD-A39W</t>
  </si>
  <si>
    <t>TCGA-G3-A6UC</t>
  </si>
  <si>
    <t>TCGA-G3-A25U</t>
  </si>
  <si>
    <t>TCGA-MI-A75G</t>
  </si>
  <si>
    <t>TCGA-G3-A7M5</t>
  </si>
  <si>
    <t>TCGA-RC-A6M4</t>
  </si>
  <si>
    <t>TCGA-DD-A3A2</t>
  </si>
  <si>
    <t>TCGA-CC-A7IL</t>
  </si>
  <si>
    <t>TCGA-G3-A3CJ</t>
  </si>
  <si>
    <t>TCGA-DD-A73D</t>
  </si>
  <si>
    <t>TCGA-ED-A7XO</t>
  </si>
  <si>
    <t>N/A</t>
  </si>
  <si>
    <t>TCGA-ES-A2HS</t>
  </si>
  <si>
    <t>TCGA-FV-A4ZP</t>
  </si>
  <si>
    <t>TCGA-2J-AAB1</t>
  </si>
  <si>
    <t>PAAD</t>
  </si>
  <si>
    <t>TCGA-2J-AAB4</t>
  </si>
  <si>
    <t>TCGA-2J-AAB6</t>
  </si>
  <si>
    <t>TCGA-2J-AAB9</t>
  </si>
  <si>
    <t>TCGA-2J-AABA</t>
  </si>
  <si>
    <t>TCGA-2J-AABE</t>
  </si>
  <si>
    <t>TCGA-2J-AABH</t>
  </si>
  <si>
    <t>TCGA-2J-AABT</t>
  </si>
  <si>
    <t>TCGA-2J-AABU</t>
  </si>
  <si>
    <t>TCGA-2L-AAQA</t>
  </si>
  <si>
    <t>TCGA-2L-AAQE</t>
  </si>
  <si>
    <t>TCGA-2L-AAQI</t>
  </si>
  <si>
    <t>TCGA-2L-AAQJ</t>
  </si>
  <si>
    <t>TCGA-2L-AAQL</t>
  </si>
  <si>
    <t>TCGA-3A-A9I5</t>
  </si>
  <si>
    <t>TCGA-3A-A9I9</t>
  </si>
  <si>
    <t>TCGA-3A-A9IB</t>
  </si>
  <si>
    <t>TCGA-3A-A9IC</t>
  </si>
  <si>
    <t>TCGA-3A-A9IH</t>
  </si>
  <si>
    <t>TCGA-3A-A9IU</t>
  </si>
  <si>
    <t>TCGA-3A-A9IX</t>
  </si>
  <si>
    <t>TCGA-3A-A9IZ</t>
  </si>
  <si>
    <t>TCGA-3A-A9J0</t>
  </si>
  <si>
    <t>TCGA-3E-AAAZ</t>
  </si>
  <si>
    <t>TCGA-F2-6879</t>
  </si>
  <si>
    <t>TCGA-F2-A44G</t>
  </si>
  <si>
    <t>TCGA-F2-A7TX</t>
  </si>
  <si>
    <t>TCGA-F2-A8YN</t>
  </si>
  <si>
    <t>TCGA-FB-A545</t>
  </si>
  <si>
    <t>TCGA-FB-A78T</t>
  </si>
  <si>
    <t>TCGA-FB-AAPS</t>
  </si>
  <si>
    <t>TCGA-FB-AAPU</t>
  </si>
  <si>
    <t>TCGA-FB-AAQ0</t>
  </si>
  <si>
    <t>TCGA-FB-AAQ2</t>
  </si>
  <si>
    <t>TCGA-FB-AAQ3</t>
  </si>
  <si>
    <t>TCGA-H6-8124</t>
  </si>
  <si>
    <t>TCGA-HV-A5A3</t>
  </si>
  <si>
    <t>TCGA-HV-A5A4</t>
  </si>
  <si>
    <t>TCGA-HV-A5A5</t>
  </si>
  <si>
    <t>TCGA-HV-A5A6</t>
  </si>
  <si>
    <t>TCGA-HV-A7OL</t>
  </si>
  <si>
    <t>TCGA-HV-AA8X</t>
  </si>
  <si>
    <t>TCGA-HZ-7919</t>
  </si>
  <si>
    <t>TCGA-HZ-7922</t>
  </si>
  <si>
    <t>TCGA-HZ-8636</t>
  </si>
  <si>
    <t>TCGA-HZ-A49I</t>
  </si>
  <si>
    <t>TCGA-HZ-A77O</t>
  </si>
  <si>
    <t>TCGA-HZ-A8P0</t>
  </si>
  <si>
    <t>TCGA-HZ-A8P1</t>
  </si>
  <si>
    <t>TCGA-HZ-A9TJ</t>
  </si>
  <si>
    <t>TCGA-IB-7644</t>
  </si>
  <si>
    <t>TCGA-IB-7646</t>
  </si>
  <si>
    <t>TCGA-IB-7652</t>
  </si>
  <si>
    <t>TCGA-IB-7886</t>
  </si>
  <si>
    <t>TCGA-IB-7890</t>
  </si>
  <si>
    <t>TCGA-IB-A5SP</t>
  </si>
  <si>
    <t>TCGA-IB-A5SS</t>
  </si>
  <si>
    <t>TCGA-IB-A6UF</t>
  </si>
  <si>
    <t>TCGA-IB-A7LX</t>
  </si>
  <si>
    <t>TCGA-IB-A7M4</t>
  </si>
  <si>
    <t>TCGA-IB-AAUN</t>
  </si>
  <si>
    <t>TCGA-IB-AAUR</t>
  </si>
  <si>
    <t>TCGA-IB-AAUU</t>
  </si>
  <si>
    <t>TCGA-LB-A7SX</t>
  </si>
  <si>
    <t>TCGA-OE-A75W</t>
  </si>
  <si>
    <t>TCGA-PZ-A5RE</t>
  </si>
  <si>
    <t>TCGA-Q3-AA2A</t>
  </si>
  <si>
    <t>TCGA-S4-A8RO</t>
  </si>
  <si>
    <t>TCGA-S4-A8RP</t>
  </si>
  <si>
    <t>TCGA-US-A776</t>
  </si>
  <si>
    <t>TCGA-US-A779</t>
  </si>
  <si>
    <t>TCGA-US-A77E</t>
  </si>
  <si>
    <t>TCGA-US-A77G</t>
  </si>
  <si>
    <t>TCGA-XD-AAUL</t>
  </si>
  <si>
    <t>TCGA-YY-A8LH</t>
  </si>
  <si>
    <t>Data Availability</t>
  </si>
  <si>
    <t>Moleculary Subtyping</t>
  </si>
  <si>
    <t>Mutations</t>
  </si>
  <si>
    <t>Gene Signatures Scores</t>
  </si>
  <si>
    <t>Genome</t>
  </si>
  <si>
    <t>Pathology</t>
  </si>
  <si>
    <t>CHOL Pathology Independent Assessment</t>
  </si>
  <si>
    <t>Arm-level changes</t>
  </si>
  <si>
    <t>Mutation Spectra</t>
  </si>
  <si>
    <t>Barcode</t>
  </si>
  <si>
    <t>data availability</t>
  </si>
  <si>
    <t>molecular subtyping</t>
  </si>
  <si>
    <t>mutations</t>
  </si>
  <si>
    <t>Pathway signatures</t>
  </si>
  <si>
    <t>mtDNA Count Corrected for purity/ploidy</t>
  </si>
  <si>
    <t>Purity/Ploidy</t>
  </si>
  <si>
    <t>Submitting Institution</t>
  </si>
  <si>
    <t xml:space="preserve">clinical data </t>
  </si>
  <si>
    <t>ECOG</t>
  </si>
  <si>
    <t>clinical data</t>
  </si>
  <si>
    <t>Age≥65</t>
  </si>
  <si>
    <t>Path review</t>
  </si>
  <si>
    <t>Arm-level</t>
  </si>
  <si>
    <t>AC&gt;AN;AT&gt;AN; Neuronal</t>
  </si>
  <si>
    <t>Smoking</t>
  </si>
  <si>
    <t>APOBEC</t>
  </si>
  <si>
    <t>CpG</t>
  </si>
  <si>
    <t>Arsenic/Digestive Tract</t>
  </si>
  <si>
    <t>C&gt;G</t>
  </si>
  <si>
    <t>Liver Carcinogen/Toxin</t>
  </si>
  <si>
    <t>Toxin</t>
  </si>
  <si>
    <t>UVB</t>
  </si>
  <si>
    <t>Temozolomide</t>
  </si>
  <si>
    <t>UVA;8-oxoG;Smoking</t>
  </si>
  <si>
    <t>AML</t>
  </si>
  <si>
    <t>Aristolochic Acid, Liver/Renal</t>
  </si>
  <si>
    <t>POLE</t>
  </si>
  <si>
    <t>Smoking/Neuroblastoma</t>
  </si>
  <si>
    <t>AML/APOBEC</t>
  </si>
  <si>
    <t>Sample Type</t>
  </si>
  <si>
    <t>Copy Number Analysis (Broad)</t>
  </si>
  <si>
    <t>UNC (Auman)
RNA-seq</t>
  </si>
  <si>
    <t>Methylation (Rhie)</t>
  </si>
  <si>
    <t>miRNA analysis (Robertson)</t>
  </si>
  <si>
    <t>Exome/Mutation Analysis (Gingras)</t>
  </si>
  <si>
    <t>RPPA (MDACC)</t>
  </si>
  <si>
    <t>mRNA-seq Clusters</t>
  </si>
  <si>
    <t>TumorMap CHOL/PAAD/LIHC Assignments</t>
  </si>
  <si>
    <t>CLUE COCs new</t>
  </si>
  <si>
    <t>DNA copy Clusters</t>
  </si>
  <si>
    <t>Methylation Clusters</t>
  </si>
  <si>
    <t>miRNA Clusters NMF</t>
  </si>
  <si>
    <t>RPPA Clusters</t>
  </si>
  <si>
    <t>mutation signature (Gingras)</t>
  </si>
  <si>
    <t>DNA mutations total</t>
  </si>
  <si>
    <t>DNA mutation total, coding only</t>
  </si>
  <si>
    <t>nonsynonymous</t>
  </si>
  <si>
    <t>FGFR2 fusion</t>
  </si>
  <si>
    <t>IDH1 hotspot</t>
  </si>
  <si>
    <t>IDH2 hotspot</t>
  </si>
  <si>
    <t>ARID1A LOF</t>
  </si>
  <si>
    <t>BAP1 LOF/mis</t>
  </si>
  <si>
    <t>PBRM1 LOF/mis</t>
  </si>
  <si>
    <t>ARID1B LOF/mis</t>
  </si>
  <si>
    <t>KRAS hotspot</t>
  </si>
  <si>
    <t>BRAF hotspot</t>
  </si>
  <si>
    <t>ARAF hotspot</t>
  </si>
  <si>
    <t>TP53 hotspot/mis</t>
  </si>
  <si>
    <t>PTEN LOF</t>
  </si>
  <si>
    <t>PIK3CA hotspot</t>
  </si>
  <si>
    <t>LKB1 LOF</t>
  </si>
  <si>
    <t>ALB LOF/hotspot</t>
  </si>
  <si>
    <t>TERT promoter</t>
  </si>
  <si>
    <t>ELF3</t>
  </si>
  <si>
    <t>CDKN2A Del/mis</t>
  </si>
  <si>
    <t>CCND1 Amp</t>
  </si>
  <si>
    <t>CDK4 Amp</t>
  </si>
  <si>
    <t>SAV1 Del</t>
  </si>
  <si>
    <t>QKI Del</t>
  </si>
  <si>
    <t>Immune Score</t>
  </si>
  <si>
    <t>Proliferation Score</t>
  </si>
  <si>
    <t>IDH Score</t>
  </si>
  <si>
    <t>FGFR2 Score</t>
  </si>
  <si>
    <t>Liver Score</t>
  </si>
  <si>
    <t>Thor sig poor</t>
  </si>
  <si>
    <t>Chromatin Modifier Score</t>
  </si>
  <si>
    <t>MTCorr</t>
  </si>
  <si>
    <t>Purity</t>
  </si>
  <si>
    <t>Call_failure_reason</t>
  </si>
  <si>
    <t>Ploidy</t>
  </si>
  <si>
    <t>Genome_Doublings</t>
  </si>
  <si>
    <t>Coverage_for_80_percent_power</t>
  </si>
  <si>
    <t>Cancer_DNA_fraction</t>
  </si>
  <si>
    <t>Subclonal_genome_fraction</t>
  </si>
  <si>
    <t>Country</t>
  </si>
  <si>
    <t>race</t>
  </si>
  <si>
    <t>gender</t>
  </si>
  <si>
    <t>age_at_diagnosis</t>
  </si>
  <si>
    <t>histologic subtype</t>
  </si>
  <si>
    <t>tumor_grade</t>
  </si>
  <si>
    <t>residual_tumor</t>
  </si>
  <si>
    <t>ajcc_tumor_pathologic_pt</t>
  </si>
  <si>
    <t>ajcc_nodes_pathologic_pn</t>
  </si>
  <si>
    <t>ajcc_metastasis_pathologic_pm</t>
  </si>
  <si>
    <t>ajcc_pathologic_tumor_stage</t>
  </si>
  <si>
    <t xml:space="preserve"> Yes=1; No=0</t>
  </si>
  <si>
    <t>AFP</t>
  </si>
  <si>
    <t>CA 19-9</t>
  </si>
  <si>
    <t xml:space="preserve">total bilirubin </t>
  </si>
  <si>
    <t>Fibrosis</t>
  </si>
  <si>
    <t>PNI</t>
  </si>
  <si>
    <t>Vascular Invasion</t>
  </si>
  <si>
    <t>adjuvant therapy</t>
  </si>
  <si>
    <t>vital_status</t>
  </si>
  <si>
    <t>hist_hepato_carc_fact</t>
  </si>
  <si>
    <t>new_tumor_event_after_initial_treatment</t>
  </si>
  <si>
    <t>days to death or last contact</t>
  </si>
  <si>
    <t>DIFFERENTIATION</t>
  </si>
  <si>
    <t>PERCENT GLAND FORMATION  (rounded to nearest 10%)</t>
  </si>
  <si>
    <t>SUBTYPE (select one)</t>
  </si>
  <si>
    <t>INFILTRATION OF TUMOR GLANDS BY INFLAMMATION</t>
  </si>
  <si>
    <t>Lymphocytic - indicate severity</t>
  </si>
  <si>
    <t>Neutrophilic - indicate severity</t>
  </si>
  <si>
    <t>Fibrous tissue</t>
  </si>
  <si>
    <t>TUMOR NECROSIS (fraction of tumor showing confluent necrosis)</t>
  </si>
  <si>
    <t>PERINEURAL INVASION</t>
  </si>
  <si>
    <t>LYMPHOVASCULAR INVASION</t>
  </si>
  <si>
    <t>1p_CHOL_del</t>
  </si>
  <si>
    <t>1q_CHOL_amp</t>
  </si>
  <si>
    <t>3p_CHOL_del</t>
  </si>
  <si>
    <t>4q_CHOL_del</t>
  </si>
  <si>
    <t>5p_CHOL_amp</t>
  </si>
  <si>
    <t>6p_CHOL_amp</t>
  </si>
  <si>
    <t>6q_CHOL_del</t>
  </si>
  <si>
    <t>8p_CHOL_del</t>
  </si>
  <si>
    <t>8q_CHOL_amp</t>
  </si>
  <si>
    <t>9p_CHOL_del</t>
  </si>
  <si>
    <t>9q_CHOL_del</t>
  </si>
  <si>
    <t>10p_CHOL_amp</t>
  </si>
  <si>
    <t>11p_CHOL_del</t>
  </si>
  <si>
    <t>11q_CHOL_del</t>
  </si>
  <si>
    <t>13_CHOL_del</t>
  </si>
  <si>
    <t>14_CHOL_del</t>
  </si>
  <si>
    <t>17p_CHOL_del</t>
  </si>
  <si>
    <t>17q_CHOL_amp</t>
  </si>
  <si>
    <t>18q_CHOL_del</t>
  </si>
  <si>
    <t>20q_CHOL_amp</t>
  </si>
  <si>
    <t>21_CHOL_del</t>
  </si>
  <si>
    <t>22_CHOL_del</t>
  </si>
  <si>
    <t>22_CHOL_amp</t>
  </si>
  <si>
    <t>Primary solid Tumor</t>
  </si>
  <si>
    <t>ECC</t>
  </si>
  <si>
    <t>_</t>
  </si>
  <si>
    <t>called</t>
  </si>
  <si>
    <t>Canada</t>
  </si>
  <si>
    <t>ASIAN</t>
  </si>
  <si>
    <t>MALE</t>
  </si>
  <si>
    <t>intrahepatic</t>
  </si>
  <si>
    <t>G2</t>
  </si>
  <si>
    <t>R0</t>
  </si>
  <si>
    <t>N0</t>
  </si>
  <si>
    <t>M0</t>
  </si>
  <si>
    <t>Stage I</t>
  </si>
  <si>
    <t>[Not Available]</t>
  </si>
  <si>
    <t>0 - No Fibrosis</t>
  </si>
  <si>
    <t>YES</t>
  </si>
  <si>
    <t>None</t>
  </si>
  <si>
    <t>Dead</t>
  </si>
  <si>
    <t>Ulcerative colitis</t>
  </si>
  <si>
    <t>Deceased 339</t>
  </si>
  <si>
    <t>Ductal plate malformation predominate pattern</t>
  </si>
  <si>
    <t>lymphocytic</t>
  </si>
  <si>
    <t>mild</t>
  </si>
  <si>
    <t>none</t>
  </si>
  <si>
    <t>marked (greater than 50%)</t>
  </si>
  <si>
    <t>present</t>
  </si>
  <si>
    <t>HET</t>
  </si>
  <si>
    <t>WHITE</t>
  </si>
  <si>
    <t>FEMALE</t>
  </si>
  <si>
    <t>T2b</t>
  </si>
  <si>
    <t>NX</t>
  </si>
  <si>
    <t>Stage II</t>
  </si>
  <si>
    <t>1,2 - Portal Fibrosis</t>
  </si>
  <si>
    <t>NO</t>
  </si>
  <si>
    <t>Diabetes mellitus|Smoking</t>
  </si>
  <si>
    <t>Deceased 415</t>
  </si>
  <si>
    <t>Bile ductular/cholangiocellular</t>
  </si>
  <si>
    <t>both</t>
  </si>
  <si>
    <t>less than or equal to 20 %</t>
  </si>
  <si>
    <t>G12R</t>
  </si>
  <si>
    <t>R248W</t>
  </si>
  <si>
    <t>distal</t>
  </si>
  <si>
    <t>N1</t>
  </si>
  <si>
    <t>M1</t>
  </si>
  <si>
    <t>Stage IV</t>
  </si>
  <si>
    <t>unknown</t>
  </si>
  <si>
    <t>UNKNOWN</t>
  </si>
  <si>
    <t>Alive</t>
  </si>
  <si>
    <t>No History of Primary Risk Factors</t>
  </si>
  <si>
    <t>[Unknown]</t>
  </si>
  <si>
    <t>NO RESPONSE</t>
  </si>
  <si>
    <t>Common Bile duct carcinoma (at best)</t>
  </si>
  <si>
    <t>neutrophilic</t>
  </si>
  <si>
    <t>METH3</t>
  </si>
  <si>
    <t>1 (RPM=1.28)</t>
  </si>
  <si>
    <t>6, 13</t>
  </si>
  <si>
    <t>T2</t>
  </si>
  <si>
    <t>3,4 - Fibrous Speta</t>
  </si>
  <si>
    <t>Micro</t>
  </si>
  <si>
    <t>Hepatitis B|Smoking</t>
  </si>
  <si>
    <t>Mixed HCC/Cholangiocarcinoma, Classical type</t>
  </si>
  <si>
    <t>moderate</t>
  </si>
  <si>
    <t>mild (5-25% of tumor surface area)</t>
  </si>
  <si>
    <t>Italy</t>
  </si>
  <si>
    <t>R1</t>
  </si>
  <si>
    <t>T2a</t>
  </si>
  <si>
    <t>NOS</t>
  </si>
  <si>
    <t>Mis + splice</t>
  </si>
  <si>
    <t>H1047L</t>
  </si>
  <si>
    <t>United States</t>
  </si>
  <si>
    <t>MX</t>
  </si>
  <si>
    <t>Not reported</t>
  </si>
  <si>
    <t>Not available</t>
  </si>
  <si>
    <t>Deceased 1135</t>
  </si>
  <si>
    <t>yes</t>
  </si>
  <si>
    <t>mixed cholangiocarcinoma/HCC</t>
  </si>
  <si>
    <t>No</t>
  </si>
  <si>
    <t>Hepatitis C</t>
  </si>
  <si>
    <t xml:space="preserve">NO </t>
  </si>
  <si>
    <t>AMP</t>
  </si>
  <si>
    <t>more than 20%</t>
  </si>
  <si>
    <t xml:space="preserve"> intrahepatic</t>
  </si>
  <si>
    <t>G3</t>
  </si>
  <si>
    <t>can't call</t>
  </si>
  <si>
    <t>Stage III</t>
  </si>
  <si>
    <t>Deceased 1939</t>
  </si>
  <si>
    <t>moderate (25%-50%)</t>
  </si>
  <si>
    <t>FS_Del &amp; _Ins</t>
  </si>
  <si>
    <t>Deceased 640</t>
  </si>
  <si>
    <t>KIAA1598</t>
  </si>
  <si>
    <t>METH2</t>
  </si>
  <si>
    <t>S217F</t>
  </si>
  <si>
    <t>Deceased 1220</t>
  </si>
  <si>
    <t>Deceased 627</t>
  </si>
  <si>
    <t>BICC1</t>
  </si>
  <si>
    <t>Stage IVA</t>
  </si>
  <si>
    <t>Deceased 924</t>
  </si>
  <si>
    <t>hilar/perihilar</t>
  </si>
  <si>
    <t>RX</t>
  </si>
  <si>
    <t>Stage IVB</t>
  </si>
  <si>
    <t>Deceased 271</t>
  </si>
  <si>
    <t>Mucinous</t>
  </si>
  <si>
    <t>C10ORF118</t>
  </si>
  <si>
    <t>K353T</t>
  </si>
  <si>
    <t>marked</t>
  </si>
  <si>
    <t>Deceased 555</t>
  </si>
  <si>
    <t>FS_Del &amp; Mis</t>
  </si>
  <si>
    <t>Deceased 170</t>
  </si>
  <si>
    <t>Diabetes mellitus|Non-Alcoholic Fatty Liver Disease</t>
  </si>
  <si>
    <t>Cirrhosis|Diabetes mellitus|Smoking</t>
  </si>
  <si>
    <t>Deceased 21</t>
  </si>
  <si>
    <t>Brazil</t>
  </si>
  <si>
    <t>Deceased 26</t>
  </si>
  <si>
    <t>R98L</t>
  </si>
  <si>
    <t>Vietnam</t>
  </si>
  <si>
    <t>No response</t>
  </si>
  <si>
    <t>FRK</t>
  </si>
  <si>
    <t>E545K</t>
  </si>
  <si>
    <t>Deceased 385</t>
  </si>
  <si>
    <t>bile ductular/cholangiocellular</t>
  </si>
  <si>
    <t>P219L</t>
  </si>
  <si>
    <t>BLACK OR AFRICAN AMERICAN</t>
  </si>
  <si>
    <t>Not recorded</t>
  </si>
  <si>
    <t>Deceased 701</t>
  </si>
  <si>
    <t>Deceased 741</t>
  </si>
  <si>
    <t>5,6</t>
  </si>
  <si>
    <t>4,9</t>
  </si>
  <si>
    <t>Q61K</t>
  </si>
  <si>
    <t>V600E</t>
  </si>
  <si>
    <t>Deceased 402</t>
  </si>
  <si>
    <t>Sarcomatoid</t>
  </si>
  <si>
    <t>lost to followup</t>
  </si>
  <si>
    <t>Cannot be compared to the others, only to each other</t>
  </si>
  <si>
    <t>ALB</t>
  </si>
  <si>
    <t>+</t>
  </si>
  <si>
    <t>Frame_Shift_Del</t>
  </si>
  <si>
    <t>-</t>
  </si>
  <si>
    <t>TCGA-W5-AA2I-01A-32D-A417-09</t>
  </si>
  <si>
    <t>TCGA-W5-AA2I-10A-01D-A41A-09</t>
  </si>
  <si>
    <t>Valid</t>
  </si>
  <si>
    <t>.</t>
  </si>
  <si>
    <t>p.P306fs</t>
  </si>
  <si>
    <t>TCGA-W5-AA39-01A-11D-A417-09</t>
  </si>
  <si>
    <t>TCGA-W5-AA39-10A-01D-A41A-09</t>
  </si>
  <si>
    <t>p.154_156del</t>
  </si>
  <si>
    <t>Missense_Mutation</t>
  </si>
  <si>
    <t>TCGA-W5-AA2T-01A-12D-A417-09</t>
  </si>
  <si>
    <t>TCGA-W5-AA2T-10A-01D-A41A-09</t>
  </si>
  <si>
    <t>p.S217F</t>
  </si>
  <si>
    <t>APC</t>
  </si>
  <si>
    <t>TCGA-W5-AA2X-01A-11D-A417-09</t>
  </si>
  <si>
    <t>TCGA-W5-AA2X-10A-01D-A41A-09</t>
  </si>
  <si>
    <t>p.M1413fs</t>
  </si>
  <si>
    <t>ARAF</t>
  </si>
  <si>
    <t>TCGA-ZH-A8Y2-01A-11D-A417-09</t>
  </si>
  <si>
    <t>TCGA-ZH-A8Y2-10A-01D-A41A-09</t>
  </si>
  <si>
    <t>p.P219L</t>
  </si>
  <si>
    <t>TCGA-ZH-A8Y4-01A-11D-A417-09</t>
  </si>
  <si>
    <t>TCGA-ZH-A8Y4-10A-01D-A41A-09</t>
  </si>
  <si>
    <t>Splice_Site</t>
  </si>
  <si>
    <t>TCGA-4G-AAZT-01A-11D-A417-09</t>
  </si>
  <si>
    <t>TCGA-4G-AAZT-10A-01D-A41A-09</t>
  </si>
  <si>
    <t>p.1180_1185del</t>
  </si>
  <si>
    <t>TCGA-WD-A7RX-01A-12D-A417-09</t>
  </si>
  <si>
    <t>TCGA-WD-A7RX-10A-01D-A41A-09</t>
  </si>
  <si>
    <t>p.1556_1559del</t>
  </si>
  <si>
    <t>Frame_Shift_Ins</t>
  </si>
  <si>
    <t>TCGA-4G-AAZO-01A-12D-A417-09</t>
  </si>
  <si>
    <t>TCGA-4G-AAZO-11A-11D-A41A-09</t>
  </si>
  <si>
    <t>p.S2249fs</t>
  </si>
  <si>
    <t>TCGA-YR-A95A-01A-12D-A417-09</t>
  </si>
  <si>
    <t>TCGA-YR-A95A-10A-01D-A41A-09</t>
  </si>
  <si>
    <t>p.S1570fs</t>
  </si>
  <si>
    <t>Nonsense_Mutation</t>
  </si>
  <si>
    <t>TCGA-W5-AA2I-01A-32D-A417-09-VAL</t>
  </si>
  <si>
    <t>TCGA-W5-AA2I-11A-11D-A417-09-VAL</t>
  </si>
  <si>
    <t>p.Q335X</t>
  </si>
  <si>
    <t>TCGA-W5-AA33-01A-11D-A417-09-VAL</t>
  </si>
  <si>
    <t>TCGA-W5-AA33-10A-01D-A41A-09-VAL</t>
  </si>
  <si>
    <t>p.E2034X</t>
  </si>
  <si>
    <t>p.Y1145C</t>
  </si>
  <si>
    <t>TCGA-ZH-A8Y8-01A-51D-A417-09</t>
  </si>
  <si>
    <t>TCGA-ZH-A8Y8-10A-01D-A41A-09</t>
  </si>
  <si>
    <t>p.M1301fs</t>
  </si>
  <si>
    <t>ATM</t>
  </si>
  <si>
    <t>p.Q501K</t>
  </si>
  <si>
    <t>TCGA-3X-AAVE-01A-11D-A417-09</t>
  </si>
  <si>
    <t>TCGA-3X-AAVE-10A-01D-A41A-09</t>
  </si>
  <si>
    <t>p.669_675del</t>
  </si>
  <si>
    <t>p.E454fs</t>
  </si>
  <si>
    <t>p.D608fs</t>
  </si>
  <si>
    <t>In_Frame_Del</t>
  </si>
  <si>
    <t>TCGA-BC-A10Q-01A-11D-A12Z-10</t>
  </si>
  <si>
    <t>TCGA-BC-A10Q-11A-11D-A12Z-10</t>
  </si>
  <si>
    <t>p.235_238del</t>
  </si>
  <si>
    <t>p.T266P</t>
  </si>
  <si>
    <t>p.F118V</t>
  </si>
  <si>
    <t>p.L49P</t>
  </si>
  <si>
    <t>TCGA-W5-AA2W-01A-11D-A417-09</t>
  </si>
  <si>
    <t>TCGA-W5-AA2W-10A-01D-A41A-09</t>
  </si>
  <si>
    <t>p.K249X</t>
  </si>
  <si>
    <t>TCGA-W5-AA31-01A-11D-A417-09</t>
  </si>
  <si>
    <t>TCGA-W5-AA31-10A-01D-A41A-09</t>
  </si>
  <si>
    <t>p.W196X</t>
  </si>
  <si>
    <t>TCGA-FV-A3I0-01A-11D-A22F-10</t>
  </si>
  <si>
    <t>TCGA-FV-A3I0-11A-11D-A22F-10</t>
  </si>
  <si>
    <t>p.96_117del</t>
  </si>
  <si>
    <t>TCGA-W5-AA2G-01A-11D-A417-09-VAL</t>
  </si>
  <si>
    <t>TCGA-W5-AA2G-10A-01D-A41A-09-VAL</t>
  </si>
  <si>
    <t>p.G533fs</t>
  </si>
  <si>
    <t>TCGA-W5-AA38-01A-11D-A417-09</t>
  </si>
  <si>
    <t>TCGA-W5-AA38-10A-01D-A41A-09</t>
  </si>
  <si>
    <t>BCL3</t>
  </si>
  <si>
    <t>TCGA-W5-AA2U-01A-11D-A417-09</t>
  </si>
  <si>
    <t>TCGA-W5-AA2U-10A-01D-A41A-09</t>
  </si>
  <si>
    <t>p.E384X</t>
  </si>
  <si>
    <t>p.L121F</t>
  </si>
  <si>
    <t>BRAF</t>
  </si>
  <si>
    <t>TCGA-ZU-A8S4-01A-11D-A417-09</t>
  </si>
  <si>
    <t>TCGA-ZU-A8S4-10A-01D-A41A-09</t>
  </si>
  <si>
    <t>p.V600E</t>
  </si>
  <si>
    <t>BRCA2</t>
  </si>
  <si>
    <t>TCGA-W5-AA30-01A-31D-A417-09</t>
  </si>
  <si>
    <t>TCGA-W5-AA30-10A-01D-A41A-09</t>
  </si>
  <si>
    <t>p.E1514Q</t>
  </si>
  <si>
    <t>CDKN1A</t>
  </si>
  <si>
    <t>TCGA-W5-AA39-01A-11D-A417-09-VAL</t>
  </si>
  <si>
    <t>TCGA-W5-AA39-10A-01D-A41A-09-VAL</t>
  </si>
  <si>
    <t>Untested</t>
  </si>
  <si>
    <t>p.80_105del</t>
  </si>
  <si>
    <t>CDKN2A</t>
  </si>
  <si>
    <t>p.X133S</t>
  </si>
  <si>
    <t>TCGA-ZD-A8I3-01A-11D-A417-09</t>
  </si>
  <si>
    <t>TCGA-ZD-A8I3-10A-01D-A41A-09</t>
  </si>
  <si>
    <t>p.R98L</t>
  </si>
  <si>
    <t>p.19_23del</t>
  </si>
  <si>
    <t>p.K353T</t>
  </si>
  <si>
    <t>TCGA-W5-AA2Q-01A-11D-A417-09</t>
  </si>
  <si>
    <t>TCGA-W5-AA2Q-10A-01D-A41A-09</t>
  </si>
  <si>
    <t>ELF4</t>
  </si>
  <si>
    <t>p.G508X</t>
  </si>
  <si>
    <t>EP400</t>
  </si>
  <si>
    <t>p.S1459C</t>
  </si>
  <si>
    <t>ERBB2</t>
  </si>
  <si>
    <t>p.L994V</t>
  </si>
  <si>
    <t>p.L755P</t>
  </si>
  <si>
    <t>FGFR2</t>
  </si>
  <si>
    <t>p.P99S</t>
  </si>
  <si>
    <t>TCGA-W5-AA34-01A-11D-A417-09</t>
  </si>
  <si>
    <t>TCGA-W5-AA34-10A-01D-A41A-09</t>
  </si>
  <si>
    <t>p.F276C</t>
  </si>
  <si>
    <t>In_Frame_Ins</t>
  </si>
  <si>
    <t>TCGA-W5-AA2O-01A-11D-A417-09</t>
  </si>
  <si>
    <t>TCGA-W5-AA2O-10A-01D-A41A-09</t>
  </si>
  <si>
    <t>p.N329delinsFN</t>
  </si>
  <si>
    <t>GNAS</t>
  </si>
  <si>
    <t>p.R61H</t>
  </si>
  <si>
    <t>IDH1</t>
  </si>
  <si>
    <t>p.R132C</t>
  </si>
  <si>
    <t>TCGA-W5-AA2G-01A-11D-A417-09</t>
  </si>
  <si>
    <t>TCGA-W5-AA2G-10A-01D-A41A-09</t>
  </si>
  <si>
    <t>IDH2</t>
  </si>
  <si>
    <t>TCGA-3X-AAVA-01A-11D-A417-09</t>
  </si>
  <si>
    <t>TCGA-3X-AAVA-10A-01D-A41A-09</t>
  </si>
  <si>
    <t>p.R172S</t>
  </si>
  <si>
    <t>TCGA-W6-AA0S-01A-11D-A417-09</t>
  </si>
  <si>
    <t>TCGA-W6-AA0S-10A-01D-A41A-09</t>
  </si>
  <si>
    <t>p.R172K</t>
  </si>
  <si>
    <t>KDR</t>
  </si>
  <si>
    <t>TCGA-KR-A7K2-01A-12D-A33Q-10</t>
  </si>
  <si>
    <t>TCGA-KR-A7K2-10A-01D-A33Q-10</t>
  </si>
  <si>
    <t>p.D1315G</t>
  </si>
  <si>
    <t>p.R1051Q</t>
  </si>
  <si>
    <t>TCGA-3X-AAVB-01A-31D-A417-09</t>
  </si>
  <si>
    <t>TCGA-3X-AAVB-10A-01D-A41A-09</t>
  </si>
  <si>
    <t>p.G12R</t>
  </si>
  <si>
    <t>p.Q61K</t>
  </si>
  <si>
    <t>MAGEA1</t>
  </si>
  <si>
    <t>p.A162fs</t>
  </si>
  <si>
    <t>p.E161D</t>
  </si>
  <si>
    <t>MLL3</t>
  </si>
  <si>
    <t>TCGA-ZH-A8Y1-01A-11D-A417-09-VAL</t>
  </si>
  <si>
    <t>TCGA-ZH-A8Y1-10A-01D-A41A-09-VAL</t>
  </si>
  <si>
    <t>p.Q618fs</t>
  </si>
  <si>
    <t>NF1</t>
  </si>
  <si>
    <t>TCGA-KR-A7K2-01A-12D-A46D-09-VAL</t>
  </si>
  <si>
    <t>TCGA-KR-A7K2-10A-01D-A46D-09-VAL</t>
  </si>
  <si>
    <t>p.1063_1066del</t>
  </si>
  <si>
    <t>NF2</t>
  </si>
  <si>
    <t>p.Y1503H</t>
  </si>
  <si>
    <t>p.R534X</t>
  </si>
  <si>
    <t>p.F993delinsLF</t>
  </si>
  <si>
    <t>p.E588X</t>
  </si>
  <si>
    <t>p.R490X</t>
  </si>
  <si>
    <t>TCGA-ZH-A8Y1-01A-11D-A417-09</t>
  </si>
  <si>
    <t>TCGA-ZH-A8Y1-10A-01D-A41A-09</t>
  </si>
  <si>
    <t>p.K277X</t>
  </si>
  <si>
    <t>p.R472X</t>
  </si>
  <si>
    <t>TCGA-BC-A10Q-01A-11D-A46D-09-VAL</t>
  </si>
  <si>
    <t>TCGA-BC-A10Q-11A-11D-A46D-09-VAL</t>
  </si>
  <si>
    <t>p.M1184fs</t>
  </si>
  <si>
    <t>PIK3CA</t>
  </si>
  <si>
    <t>p.H1047L</t>
  </si>
  <si>
    <t>p.E545K</t>
  </si>
  <si>
    <t>PIK3R1</t>
  </si>
  <si>
    <t>p.G27C</t>
  </si>
  <si>
    <t>p.L149P</t>
  </si>
  <si>
    <t>PTEN</t>
  </si>
  <si>
    <t>p.T319fs</t>
  </si>
  <si>
    <t>p.L320V</t>
  </si>
  <si>
    <t>PXMP4</t>
  </si>
  <si>
    <t>p.79_81del</t>
  </si>
  <si>
    <t>p.L131S</t>
  </si>
  <si>
    <t>ROR2</t>
  </si>
  <si>
    <t>p.V537I</t>
  </si>
  <si>
    <t>SF3B1</t>
  </si>
  <si>
    <t>p.G740E</t>
  </si>
  <si>
    <t>SMARCD1</t>
  </si>
  <si>
    <t>p.231_237del</t>
  </si>
  <si>
    <t>STK11</t>
  </si>
  <si>
    <t>p.62_62del</t>
  </si>
  <si>
    <t>5'Flank</t>
  </si>
  <si>
    <t>p.R248W</t>
  </si>
  <si>
    <t>p.C141R</t>
  </si>
  <si>
    <t>p.236_243del</t>
  </si>
  <si>
    <t>p.Y234_N235delinsX</t>
  </si>
  <si>
    <t>Chromatin Modifier Gene List</t>
  </si>
  <si>
    <t>Gene ID</t>
  </si>
  <si>
    <t>ATP5C1</t>
  </si>
  <si>
    <t>ATP5D</t>
  </si>
  <si>
    <t>ARID2</t>
  </si>
  <si>
    <t>ATP5E</t>
  </si>
  <si>
    <t>ASH1L</t>
  </si>
  <si>
    <t>ATP5EP2</t>
  </si>
  <si>
    <t>BAZ1A</t>
  </si>
  <si>
    <t>ATP5G1</t>
  </si>
  <si>
    <t>BCOR</t>
  </si>
  <si>
    <t>ATP5G2</t>
  </si>
  <si>
    <t>BMI1</t>
  </si>
  <si>
    <t>ATP5G3</t>
  </si>
  <si>
    <t>BPTF</t>
  </si>
  <si>
    <t>ATP5H</t>
  </si>
  <si>
    <t>BRD3</t>
  </si>
  <si>
    <t>ATP5I</t>
  </si>
  <si>
    <t>BRD4</t>
  </si>
  <si>
    <t>ATP5J</t>
  </si>
  <si>
    <t>CHD1</t>
  </si>
  <si>
    <t>ATP5J2</t>
  </si>
  <si>
    <t>CHD2</t>
  </si>
  <si>
    <t>ATP5L</t>
  </si>
  <si>
    <t>CHD6</t>
  </si>
  <si>
    <t>ATP5O</t>
  </si>
  <si>
    <t>CLOCK</t>
  </si>
  <si>
    <t>COX17</t>
  </si>
  <si>
    <t>CREBBP</t>
  </si>
  <si>
    <t>COX4I1</t>
  </si>
  <si>
    <t>DICER1</t>
  </si>
  <si>
    <t>COX5A</t>
  </si>
  <si>
    <t>EIF2C4</t>
  </si>
  <si>
    <t>COX5B</t>
  </si>
  <si>
    <t>EP300</t>
  </si>
  <si>
    <t>COX6A1</t>
  </si>
  <si>
    <t>EPC1</t>
  </si>
  <si>
    <t>COX6B1</t>
  </si>
  <si>
    <t>GTF2A1</t>
  </si>
  <si>
    <t>COX6C</t>
  </si>
  <si>
    <t>GTF2H3</t>
  </si>
  <si>
    <t>COX7A2</t>
  </si>
  <si>
    <t>GTF3C4</t>
  </si>
  <si>
    <t>COX7B</t>
  </si>
  <si>
    <t>ING3</t>
  </si>
  <si>
    <t>COX7C</t>
  </si>
  <si>
    <t>MGA</t>
  </si>
  <si>
    <t>COX8A</t>
  </si>
  <si>
    <t>MLL2</t>
  </si>
  <si>
    <t>CYC1</t>
  </si>
  <si>
    <t>MRPL12</t>
  </si>
  <si>
    <t>MLL5</t>
  </si>
  <si>
    <t>MRPL14</t>
  </si>
  <si>
    <t>MYSM1</t>
  </si>
  <si>
    <t>MRPL2</t>
  </si>
  <si>
    <t>MYST2</t>
  </si>
  <si>
    <t>MYST3</t>
  </si>
  <si>
    <t>MRPL21</t>
  </si>
  <si>
    <t>MYST4</t>
  </si>
  <si>
    <t>MRPL22</t>
  </si>
  <si>
    <t>NCOA3</t>
  </si>
  <si>
    <t>MRPL23</t>
  </si>
  <si>
    <t>MRPL24</t>
  </si>
  <si>
    <t>PHC3</t>
  </si>
  <si>
    <t>MRPL27</t>
  </si>
  <si>
    <t>PHF2</t>
  </si>
  <si>
    <t>MRPL28</t>
  </si>
  <si>
    <t>PHF20</t>
  </si>
  <si>
    <t>MRPL34</t>
  </si>
  <si>
    <t>PHF6</t>
  </si>
  <si>
    <t>MRPL36</t>
  </si>
  <si>
    <t>POLR2A</t>
  </si>
  <si>
    <t>MRPL38</t>
  </si>
  <si>
    <t>POLR3A</t>
  </si>
  <si>
    <t>MRPL40</t>
  </si>
  <si>
    <t>RBBP5</t>
  </si>
  <si>
    <t>MRPL41</t>
  </si>
  <si>
    <t>RNF168</t>
  </si>
  <si>
    <t>MRPL43</t>
  </si>
  <si>
    <t>RPS6KA3</t>
  </si>
  <si>
    <t>MRPL47</t>
  </si>
  <si>
    <t>RREB1</t>
  </si>
  <si>
    <t>MRPL51</t>
  </si>
  <si>
    <t>SETD1B</t>
  </si>
  <si>
    <t>MRPL52</t>
  </si>
  <si>
    <t>SETD2</t>
  </si>
  <si>
    <t>MRPL53</t>
  </si>
  <si>
    <t>SIRT1</t>
  </si>
  <si>
    <t>MRPL54</t>
  </si>
  <si>
    <t>SMARCA5</t>
  </si>
  <si>
    <t>SMARCC1</t>
  </si>
  <si>
    <t>MRPS11</t>
  </si>
  <si>
    <t>SUV420H1</t>
  </si>
  <si>
    <t>MRPS12</t>
  </si>
  <si>
    <t>SUZ12</t>
  </si>
  <si>
    <t>MRPS15</t>
  </si>
  <si>
    <t>TAF1</t>
  </si>
  <si>
    <t>MRPS16</t>
  </si>
  <si>
    <t>TAF2</t>
  </si>
  <si>
    <t>TAF3</t>
  </si>
  <si>
    <t>MRPS24</t>
  </si>
  <si>
    <t>TET2</t>
  </si>
  <si>
    <t>MRPS25</t>
  </si>
  <si>
    <t>TET3</t>
  </si>
  <si>
    <t>MRPS33</t>
  </si>
  <si>
    <t>TRRAP</t>
  </si>
  <si>
    <t>MRPS34</t>
  </si>
  <si>
    <t>UBR2</t>
  </si>
  <si>
    <t>MRPS36</t>
  </si>
  <si>
    <t>ZMYM2</t>
  </si>
  <si>
    <t>MRPS5</t>
  </si>
  <si>
    <t>MRPS7</t>
  </si>
  <si>
    <t>NDUFA1</t>
  </si>
  <si>
    <t>NDUFA11</t>
  </si>
  <si>
    <t>NDUFA12</t>
  </si>
  <si>
    <t>NDUFA13</t>
  </si>
  <si>
    <t>NDUFA2</t>
  </si>
  <si>
    <t>NDUFA3</t>
  </si>
  <si>
    <t>NDUFA4</t>
  </si>
  <si>
    <t>NDUFA6</t>
  </si>
  <si>
    <t>NDUFA7</t>
  </si>
  <si>
    <t>NDUFA8</t>
  </si>
  <si>
    <t>NDUFA9</t>
  </si>
  <si>
    <t>NDUFAB1</t>
  </si>
  <si>
    <t>NDUFB10</t>
  </si>
  <si>
    <t>NDUFB11</t>
  </si>
  <si>
    <t>NDUFB2</t>
  </si>
  <si>
    <t>NDUFB3</t>
  </si>
  <si>
    <t>NDUFB4</t>
  </si>
  <si>
    <t>NDUFB5</t>
  </si>
  <si>
    <t>NDUFB6</t>
  </si>
  <si>
    <t>NDUFB7</t>
  </si>
  <si>
    <t>NDUFB8</t>
  </si>
  <si>
    <t>NDUFB9</t>
  </si>
  <si>
    <t>NDUFC1</t>
  </si>
  <si>
    <t>NDUFC2</t>
  </si>
  <si>
    <t>NDUFS3</t>
  </si>
  <si>
    <t>NDUFS4</t>
  </si>
  <si>
    <t>NDUFS5</t>
  </si>
  <si>
    <t>NDUFS6</t>
  </si>
  <si>
    <t>NDUFS7</t>
  </si>
  <si>
    <t>NDUFS8</t>
  </si>
  <si>
    <t>NDUFV1</t>
  </si>
  <si>
    <t>NDUFV2</t>
  </si>
  <si>
    <t>TIMM10</t>
  </si>
  <si>
    <t>TIMM13</t>
  </si>
  <si>
    <t>TIMM16</t>
  </si>
  <si>
    <t>TIMM17B</t>
  </si>
  <si>
    <t>TIMM50</t>
  </si>
  <si>
    <t>TIMM8B</t>
  </si>
  <si>
    <t>UQCR10</t>
  </si>
  <si>
    <t>UQCR11</t>
  </si>
  <si>
    <t>UQCRB</t>
  </si>
  <si>
    <t>UQCRC1</t>
  </si>
  <si>
    <t>UQCRFS1</t>
  </si>
  <si>
    <t>UQCRH</t>
  </si>
  <si>
    <t>UQCRHL</t>
  </si>
  <si>
    <t>UQCRQ</t>
  </si>
  <si>
    <t>CYP1A2</t>
  </si>
  <si>
    <t>CYP2A6</t>
  </si>
  <si>
    <t>ADH4</t>
  </si>
  <si>
    <t>F9</t>
  </si>
  <si>
    <t>SLC10A1</t>
  </si>
  <si>
    <t>C9</t>
  </si>
  <si>
    <t>SPP2</t>
  </si>
  <si>
    <t>LPA</t>
  </si>
  <si>
    <t>APOF</t>
  </si>
  <si>
    <t>APOA5</t>
  </si>
  <si>
    <t>APOC3</t>
  </si>
  <si>
    <t>APOA1</t>
  </si>
  <si>
    <t>CPS1</t>
  </si>
  <si>
    <t>GYS2</t>
  </si>
  <si>
    <t>CYP8B1</t>
  </si>
  <si>
    <t>CYP2A7</t>
  </si>
  <si>
    <t>BHMT</t>
  </si>
  <si>
    <t>CFHR4</t>
  </si>
  <si>
    <t>AKR1D1</t>
  </si>
  <si>
    <t>SULT2A1</t>
  </si>
  <si>
    <t>HP</t>
  </si>
  <si>
    <t>CPN2</t>
  </si>
  <si>
    <t>ACOT12</t>
  </si>
  <si>
    <t>SERPINC1</t>
  </si>
  <si>
    <t>HAO1</t>
  </si>
  <si>
    <t>HAO2</t>
  </si>
  <si>
    <t>THRSP</t>
  </si>
  <si>
    <t>CYP3A4</t>
  </si>
  <si>
    <t>LECT2</t>
  </si>
  <si>
    <t>DPYS</t>
  </si>
  <si>
    <t>SLC38A4</t>
  </si>
  <si>
    <t>INS-IGF2</t>
  </si>
  <si>
    <t>APOC1P1</t>
  </si>
  <si>
    <t>PLG</t>
  </si>
  <si>
    <t>UROC1</t>
  </si>
  <si>
    <t>AHSG</t>
  </si>
  <si>
    <t>AFM</t>
  </si>
  <si>
    <t>TTC36</t>
  </si>
  <si>
    <t>CFHR2</t>
  </si>
  <si>
    <t>ASPG</t>
  </si>
  <si>
    <t>UGT1A4</t>
  </si>
  <si>
    <t>TF</t>
  </si>
  <si>
    <t>SLC22A1</t>
  </si>
  <si>
    <t>ARG1</t>
  </si>
  <si>
    <t>OTC</t>
  </si>
  <si>
    <t>AGXT</t>
  </si>
  <si>
    <t>CYP2E1</t>
  </si>
  <si>
    <t>HPR</t>
  </si>
  <si>
    <t>TAT</t>
  </si>
  <si>
    <t>CFHR5</t>
  </si>
  <si>
    <t>GCGR</t>
  </si>
  <si>
    <t>CLEC4M</t>
  </si>
  <si>
    <t>MTTP</t>
  </si>
  <si>
    <t>FCN2</t>
  </si>
  <si>
    <t>APOA2</t>
  </si>
  <si>
    <t>HPX</t>
  </si>
  <si>
    <t>UPB1</t>
  </si>
  <si>
    <t>CYP4A22</t>
  </si>
  <si>
    <t>F13B</t>
  </si>
  <si>
    <t>SLC22A10</t>
  </si>
  <si>
    <t>SLC13A5</t>
  </si>
  <si>
    <t>SLC22A7</t>
  </si>
  <si>
    <t>SAA4</t>
  </si>
  <si>
    <t>C3P1</t>
  </si>
  <si>
    <t>HRG</t>
  </si>
  <si>
    <t>HSD17B6</t>
  </si>
  <si>
    <t>HSD17B13</t>
  </si>
  <si>
    <t>GBP7</t>
  </si>
  <si>
    <t>SLCO1B3</t>
  </si>
  <si>
    <t>MBL2</t>
  </si>
  <si>
    <t>UGT2B10</t>
  </si>
  <si>
    <t>CA5A</t>
  </si>
  <si>
    <t>CLEC4G</t>
  </si>
  <si>
    <t>MT1H</t>
  </si>
  <si>
    <t>CCL16</t>
  </si>
  <si>
    <t>SERPINA11</t>
  </si>
  <si>
    <t>CFHR3</t>
  </si>
  <si>
    <t>CFHR1</t>
  </si>
  <si>
    <t>KDM5D</t>
  </si>
  <si>
    <t>A1BG</t>
  </si>
  <si>
    <t>ADH1A</t>
  </si>
  <si>
    <t>PROZ</t>
  </si>
  <si>
    <t>CYP7A1</t>
  </si>
  <si>
    <t>CHRNA4</t>
  </si>
  <si>
    <t>HAMP</t>
  </si>
  <si>
    <t>FETUB</t>
  </si>
  <si>
    <t>SERPIND1</t>
  </si>
  <si>
    <t>RDH16</t>
  </si>
  <si>
    <t>SLC2A2</t>
  </si>
  <si>
    <t>HMGCS2</t>
  </si>
  <si>
    <t>AGXT2</t>
  </si>
  <si>
    <t>PCK1</t>
  </si>
  <si>
    <t>ACSM5</t>
  </si>
  <si>
    <t>SRD5A2</t>
  </si>
  <si>
    <t>F2</t>
  </si>
  <si>
    <t>PZP</t>
  </si>
  <si>
    <t>ANGPTL3</t>
  </si>
  <si>
    <t>HPD</t>
  </si>
  <si>
    <t>SLCO1B1</t>
  </si>
  <si>
    <t>UGT1A1</t>
  </si>
  <si>
    <t>KNG1</t>
  </si>
  <si>
    <t>PLA2G12B</t>
  </si>
  <si>
    <t>MASP2</t>
  </si>
  <si>
    <t>CYP26A1</t>
  </si>
  <si>
    <t>C5orf27</t>
  </si>
  <si>
    <t>TTR</t>
  </si>
  <si>
    <t>ABCB11</t>
  </si>
  <si>
    <t>C8A</t>
  </si>
  <si>
    <t>DMGDH</t>
  </si>
  <si>
    <t>OXT</t>
  </si>
  <si>
    <t>CYP3A43</t>
  </si>
  <si>
    <t>SLC22A25</t>
  </si>
  <si>
    <t>ABCG8</t>
  </si>
  <si>
    <t>PRG4</t>
  </si>
  <si>
    <t>NAT2</t>
  </si>
  <si>
    <t>ADRA1A</t>
  </si>
  <si>
    <t>HAL</t>
  </si>
  <si>
    <t>SLC27A5</t>
  </si>
  <si>
    <t>PGLYRP2</t>
  </si>
  <si>
    <t>NR1I2</t>
  </si>
  <si>
    <t>NEU4</t>
  </si>
  <si>
    <t>NR1I3</t>
  </si>
  <si>
    <t>APOH</t>
  </si>
  <si>
    <t>UGT2B4</t>
  </si>
  <si>
    <t>ACSM2A</t>
  </si>
  <si>
    <t>RBP4</t>
  </si>
  <si>
    <t>MAT1A</t>
  </si>
  <si>
    <t>IL27</t>
  </si>
  <si>
    <t>HULC</t>
  </si>
  <si>
    <t>MT1G</t>
  </si>
  <si>
    <t>OIT3</t>
  </si>
  <si>
    <t>BHMT2</t>
  </si>
  <si>
    <t>HGFAC</t>
  </si>
  <si>
    <t>TMEM82</t>
  </si>
  <si>
    <t>TDO2</t>
  </si>
  <si>
    <t>INHBC</t>
  </si>
  <si>
    <t>PRODH2</t>
  </si>
  <si>
    <t>APOC2</t>
  </si>
  <si>
    <t>ITIH1</t>
  </si>
  <si>
    <t>GLYATL1</t>
  </si>
  <si>
    <t>ITIH3</t>
  </si>
  <si>
    <t>ENPP7</t>
  </si>
  <si>
    <t>FMO3</t>
  </si>
  <si>
    <t>ABCG5</t>
  </si>
  <si>
    <t>ARID3C</t>
  </si>
  <si>
    <t>ACSM2B</t>
  </si>
  <si>
    <t>APOA4</t>
  </si>
  <si>
    <t>ZCCHC16</t>
  </si>
  <si>
    <t>SERPINA7</t>
  </si>
  <si>
    <t>PON1</t>
  </si>
  <si>
    <t>PIPOX</t>
  </si>
  <si>
    <t>CYP4A11</t>
  </si>
  <si>
    <t>APOC1</t>
  </si>
  <si>
    <t>FGB</t>
  </si>
  <si>
    <t>CYP2D6</t>
  </si>
  <si>
    <t>CYP2C8</t>
  </si>
  <si>
    <t>AKR1C4</t>
  </si>
  <si>
    <t>FGF21</t>
  </si>
  <si>
    <t>C8B</t>
  </si>
  <si>
    <t>AOX1</t>
  </si>
  <si>
    <t>ABCB4</t>
  </si>
  <si>
    <t>CYP2C9</t>
  </si>
  <si>
    <t>KLB</t>
  </si>
  <si>
    <t>CYP2B6</t>
  </si>
  <si>
    <t>DBH</t>
  </si>
  <si>
    <t>ORM1</t>
  </si>
  <si>
    <t>CYP4F2</t>
  </si>
  <si>
    <t>SERPINA10</t>
  </si>
  <si>
    <t>SDS</t>
  </si>
  <si>
    <t>SLC22A9</t>
  </si>
  <si>
    <t>SEC14L3</t>
  </si>
  <si>
    <t>ORM2</t>
  </si>
  <si>
    <t>F12</t>
  </si>
  <si>
    <t>CES1</t>
  </si>
  <si>
    <t>ADH6</t>
  </si>
  <si>
    <t>SAA2</t>
  </si>
  <si>
    <t>AKR1CL1</t>
  </si>
  <si>
    <t>AMDHD1</t>
  </si>
  <si>
    <t>GLTPD2</t>
  </si>
  <si>
    <t>CREB3L3</t>
  </si>
  <si>
    <t>FGA</t>
  </si>
  <si>
    <t>ALDH8A1</t>
  </si>
  <si>
    <t>SLC17A2</t>
  </si>
  <si>
    <t>SLC38A3</t>
  </si>
  <si>
    <t>SAA1</t>
  </si>
  <si>
    <t>KMO</t>
  </si>
  <si>
    <t>ITIH4</t>
  </si>
  <si>
    <t>GPR128</t>
  </si>
  <si>
    <t>C6</t>
  </si>
  <si>
    <t>KLKB1</t>
  </si>
  <si>
    <t>ACSL1</t>
  </si>
  <si>
    <t>ASGR1</t>
  </si>
  <si>
    <t>LGSN</t>
  </si>
  <si>
    <t>FTCD</t>
  </si>
  <si>
    <t>HSD11B1</t>
  </si>
  <si>
    <t>CYP4F3</t>
  </si>
  <si>
    <t>MT1M</t>
  </si>
  <si>
    <t>SERPINF2</t>
  </si>
  <si>
    <t>LEAP2</t>
  </si>
  <si>
    <t>NPW</t>
  </si>
  <si>
    <t>MST1</t>
  </si>
  <si>
    <t>SARDH</t>
  </si>
  <si>
    <t>PKLR</t>
  </si>
  <si>
    <t>TM6SF2</t>
  </si>
  <si>
    <t>EHHADH</t>
  </si>
  <si>
    <t>C1orf168</t>
  </si>
  <si>
    <t>PLGLB2</t>
  </si>
  <si>
    <t>TTPA</t>
  </si>
  <si>
    <t>G6PC</t>
  </si>
  <si>
    <t>PON3</t>
  </si>
  <si>
    <t>C4BPA</t>
  </si>
  <si>
    <t>AMBP</t>
  </si>
  <si>
    <t>C2</t>
  </si>
  <si>
    <t>KHK</t>
  </si>
  <si>
    <t>ANG</t>
  </si>
  <si>
    <t>F7</t>
  </si>
  <si>
    <t>LPAL2</t>
  </si>
  <si>
    <t>CYP2D7P1</t>
  </si>
  <si>
    <t>CTH</t>
  </si>
  <si>
    <t>FGG</t>
  </si>
  <si>
    <t>CP</t>
  </si>
  <si>
    <t>FBP1</t>
  </si>
  <si>
    <t>CPN1</t>
  </si>
  <si>
    <t>TRPM8</t>
  </si>
  <si>
    <t>ATF5</t>
  </si>
  <si>
    <t>APOE</t>
  </si>
  <si>
    <t>SLC7A2</t>
  </si>
  <si>
    <t>C4BPB</t>
  </si>
  <si>
    <t>AR</t>
  </si>
  <si>
    <t>MOGAT1</t>
  </si>
  <si>
    <t>APOB</t>
  </si>
  <si>
    <t>IGFBP1</t>
  </si>
  <si>
    <t>TFR2</t>
  </si>
  <si>
    <t>F11</t>
  </si>
  <si>
    <t>FGL1</t>
  </si>
  <si>
    <t>NAGS</t>
  </si>
  <si>
    <t>PBLD</t>
  </si>
  <si>
    <t>LIPC</t>
  </si>
  <si>
    <t>GC</t>
  </si>
  <si>
    <t>CFH</t>
  </si>
  <si>
    <t>APOM</t>
  </si>
  <si>
    <t>COLEC10</t>
  </si>
  <si>
    <t>GPT</t>
  </si>
  <si>
    <t>CYP3A7</t>
  </si>
  <si>
    <t>LBP</t>
  </si>
  <si>
    <t>PROC</t>
  </si>
  <si>
    <t>PCK2</t>
  </si>
  <si>
    <t>THPO</t>
  </si>
  <si>
    <t>MT1F</t>
  </si>
  <si>
    <t>CPB2</t>
  </si>
  <si>
    <t>RIPPLY1</t>
  </si>
  <si>
    <t>SERPINA4</t>
  </si>
  <si>
    <t>CYP2C19</t>
  </si>
  <si>
    <t>IGFALS</t>
  </si>
  <si>
    <t>ABCC2</t>
  </si>
  <si>
    <t>PAH</t>
  </si>
  <si>
    <t>PCSK6</t>
  </si>
  <si>
    <t>HAAO</t>
  </si>
  <si>
    <t>MT1A</t>
  </si>
  <si>
    <t>DIOXYGENASES_NB</t>
  </si>
  <si>
    <t>EPIGENETIC_REGULATORS</t>
  </si>
  <si>
    <t>EPIGENETIC_REGULATORS_NEW_LIST_ALL</t>
  </si>
  <si>
    <t>EPIGENETIC_REGULATORS_READER</t>
  </si>
  <si>
    <t>EPIGENETIC_REGULATORS_WRITER</t>
  </si>
  <si>
    <t>EPIGENETIC_REGULATORS_ERASER</t>
  </si>
  <si>
    <t>EPIGENETIC_REGULATORS_REMODELLER</t>
  </si>
  <si>
    <t>EPIGENETIC_REGULATORS_BIND_WRITER</t>
  </si>
  <si>
    <t>EPIGENETIC_REGULATORS_BIND_ERASER</t>
  </si>
  <si>
    <t>EPIGENETIC_REGULATORS_OTHER</t>
  </si>
  <si>
    <t>EPIGENETIC_REGULATORS_HISTONE</t>
  </si>
  <si>
    <t>EPIGENETIC_REGULATORS_SWI_SNF</t>
  </si>
  <si>
    <t>ALKBH1</t>
  </si>
  <si>
    <t>ACTL6A</t>
  </si>
  <si>
    <t>ACTR6</t>
  </si>
  <si>
    <t>C14ORF169</t>
  </si>
  <si>
    <t>ACTA1</t>
  </si>
  <si>
    <t>AEBP2</t>
  </si>
  <si>
    <t>ASXL1</t>
  </si>
  <si>
    <t>CHAF1A</t>
  </si>
  <si>
    <t>CENPA</t>
  </si>
  <si>
    <t>ACTB</t>
  </si>
  <si>
    <t>ALKBH2</t>
  </si>
  <si>
    <t>ACTR5</t>
  </si>
  <si>
    <t>AICDA</t>
  </si>
  <si>
    <t>AIRE</t>
  </si>
  <si>
    <t>ATAT1</t>
  </si>
  <si>
    <t>EYA2</t>
  </si>
  <si>
    <t>AP2A1</t>
  </si>
  <si>
    <t>ASXL2</t>
  </si>
  <si>
    <t>DMAP1</t>
  </si>
  <si>
    <t>H1F0</t>
  </si>
  <si>
    <t>ALKBH3</t>
  </si>
  <si>
    <t>APOBEC2</t>
  </si>
  <si>
    <t>APBB1</t>
  </si>
  <si>
    <t>ATF2</t>
  </si>
  <si>
    <t>HDAC1</t>
  </si>
  <si>
    <t>ASH2L</t>
  </si>
  <si>
    <t>DNMT1</t>
  </si>
  <si>
    <t>H1FX</t>
  </si>
  <si>
    <t>ACTL6B</t>
  </si>
  <si>
    <t>ACTR8</t>
  </si>
  <si>
    <t>ASF1A</t>
  </si>
  <si>
    <t>HDAC10</t>
  </si>
  <si>
    <t>ACTR3B</t>
  </si>
  <si>
    <t>ATF7IP</t>
  </si>
  <si>
    <t>CHD3</t>
  </si>
  <si>
    <t>DNMT3A</t>
  </si>
  <si>
    <t>H2AFJ</t>
  </si>
  <si>
    <t>SMARCA2</t>
  </si>
  <si>
    <t>ALKBH6</t>
  </si>
  <si>
    <t>ASF1B</t>
  </si>
  <si>
    <t>ATR</t>
  </si>
  <si>
    <t>HDAC11</t>
  </si>
  <si>
    <t>ATF7IP2</t>
  </si>
  <si>
    <t>CHD4</t>
  </si>
  <si>
    <t>DNMT3B</t>
  </si>
  <si>
    <t>H2AFV</t>
  </si>
  <si>
    <t>SMARCA4</t>
  </si>
  <si>
    <t>ALKBH8</t>
  </si>
  <si>
    <t>ATAD2</t>
  </si>
  <si>
    <t>AURKB</t>
  </si>
  <si>
    <t>HDAC2</t>
  </si>
  <si>
    <t>ATXN7</t>
  </si>
  <si>
    <t>HMG20B</t>
  </si>
  <si>
    <t>ERCC6</t>
  </si>
  <si>
    <t>H2AFX</t>
  </si>
  <si>
    <t>SMARCB1</t>
  </si>
  <si>
    <t>EGLN1</t>
  </si>
  <si>
    <t>ASCL1</t>
  </si>
  <si>
    <t>ATAD2B</t>
  </si>
  <si>
    <t>BAZ1B</t>
  </si>
  <si>
    <t>HDAC3</t>
  </si>
  <si>
    <t>ATXN7L3</t>
  </si>
  <si>
    <t>MAZ</t>
  </si>
  <si>
    <t>ESCO1</t>
  </si>
  <si>
    <t>H2AFY</t>
  </si>
  <si>
    <t>EGLN2</t>
  </si>
  <si>
    <t>ATRX</t>
  </si>
  <si>
    <t>HDAC4</t>
  </si>
  <si>
    <t>MTA1</t>
  </si>
  <si>
    <t>ESCO2</t>
  </si>
  <si>
    <t>H2AFY2</t>
  </si>
  <si>
    <t>SMARCC2</t>
  </si>
  <si>
    <t>EGLN3</t>
  </si>
  <si>
    <t>BABAM1</t>
  </si>
  <si>
    <t>BRCC3</t>
  </si>
  <si>
    <t>HDAC5</t>
  </si>
  <si>
    <t>BRCA1</t>
  </si>
  <si>
    <t>MTA2</t>
  </si>
  <si>
    <t>FEN1</t>
  </si>
  <si>
    <t>H2AFZ</t>
  </si>
  <si>
    <t>OGFOD1</t>
  </si>
  <si>
    <t>BRE</t>
  </si>
  <si>
    <t>HDAC6</t>
  </si>
  <si>
    <t>CHD7</t>
  </si>
  <si>
    <t>MTA3</t>
  </si>
  <si>
    <t>HDGF</t>
  </si>
  <si>
    <t>H3F3A</t>
  </si>
  <si>
    <t>SMARCD2</t>
  </si>
  <si>
    <t>OGFOD2</t>
  </si>
  <si>
    <t>BAZ2A</t>
  </si>
  <si>
    <t>CARM1</t>
  </si>
  <si>
    <t>HDAC7</t>
  </si>
  <si>
    <t>CHRAC1</t>
  </si>
  <si>
    <t>C16ORF53</t>
  </si>
  <si>
    <t>NCOR1</t>
  </si>
  <si>
    <t>HDGFRP2</t>
  </si>
  <si>
    <t>H3F3B</t>
  </si>
  <si>
    <t>SMARCD3</t>
  </si>
  <si>
    <t>OGFOD3</t>
  </si>
  <si>
    <t>BAZ2B</t>
  </si>
  <si>
    <t>CDK17</t>
  </si>
  <si>
    <t>HDAC8</t>
  </si>
  <si>
    <t>DPF2</t>
  </si>
  <si>
    <t>CBX2</t>
  </si>
  <si>
    <t>NCOR2</t>
  </si>
  <si>
    <t>HDGFRP3</t>
  </si>
  <si>
    <t>H3F3C</t>
  </si>
  <si>
    <t>SMARCE1</t>
  </si>
  <si>
    <t>C17orf101</t>
  </si>
  <si>
    <t>BANF1</t>
  </si>
  <si>
    <t>BRD1</t>
  </si>
  <si>
    <t>CDK3</t>
  </si>
  <si>
    <t>HDAC9</t>
  </si>
  <si>
    <t>DPF3</t>
  </si>
  <si>
    <t>CBX4</t>
  </si>
  <si>
    <t>PHF12</t>
  </si>
  <si>
    <t>HJURP</t>
  </si>
  <si>
    <t>HIST1H1C</t>
  </si>
  <si>
    <t>LEPRE1</t>
  </si>
  <si>
    <t>BRD2</t>
  </si>
  <si>
    <t>CDK5</t>
  </si>
  <si>
    <t>JHDM1D</t>
  </si>
  <si>
    <t>DSN1</t>
  </si>
  <si>
    <t>CBX6</t>
  </si>
  <si>
    <t>RCOR1</t>
  </si>
  <si>
    <t>HMGA1</t>
  </si>
  <si>
    <t>HIST1H2AC</t>
  </si>
  <si>
    <t>LEPREL1</t>
  </si>
  <si>
    <t>CDYL</t>
  </si>
  <si>
    <t>JMJD1C</t>
  </si>
  <si>
    <t>EPC2</t>
  </si>
  <si>
    <t>CBX7</t>
  </si>
  <si>
    <t>REST</t>
  </si>
  <si>
    <t>HMGN4</t>
  </si>
  <si>
    <t>HIST1H2BC</t>
  </si>
  <si>
    <t>BCL11A</t>
  </si>
  <si>
    <t>LEPREL2</t>
  </si>
  <si>
    <t>CDYL2</t>
  </si>
  <si>
    <t>JMJD5</t>
  </si>
  <si>
    <t>HLTF</t>
  </si>
  <si>
    <t>CBX8</t>
  </si>
  <si>
    <t>SAP30</t>
  </si>
  <si>
    <t>INTS12</t>
  </si>
  <si>
    <t>HIST1H2BD</t>
  </si>
  <si>
    <t>BCL11B</t>
  </si>
  <si>
    <t>P4HA1</t>
  </si>
  <si>
    <t>BRD7</t>
  </si>
  <si>
    <t>CHUK</t>
  </si>
  <si>
    <t>JMJD6</t>
  </si>
  <si>
    <t>INO80</t>
  </si>
  <si>
    <t>CXXC1</t>
  </si>
  <si>
    <t>LMNA</t>
  </si>
  <si>
    <t>HIST1H2BJ</t>
  </si>
  <si>
    <t>BCL7A</t>
  </si>
  <si>
    <t>P4HA2</t>
  </si>
  <si>
    <t>BRD8</t>
  </si>
  <si>
    <t>KDM1A</t>
  </si>
  <si>
    <t>INO80B</t>
  </si>
  <si>
    <t>DAXX</t>
  </si>
  <si>
    <t>ZMYM3</t>
  </si>
  <si>
    <t>LMNB1</t>
  </si>
  <si>
    <t>HIST1H2BK</t>
  </si>
  <si>
    <t>BCL7B</t>
  </si>
  <si>
    <t>P4HA3</t>
  </si>
  <si>
    <t>BRD9</t>
  </si>
  <si>
    <t>KDM1B</t>
  </si>
  <si>
    <t>INO80C</t>
  </si>
  <si>
    <t>DPY30</t>
  </si>
  <si>
    <t>LMNB2</t>
  </si>
  <si>
    <t>HIST1H2BN</t>
  </si>
  <si>
    <t>BCL7C</t>
  </si>
  <si>
    <t>PLOD1</t>
  </si>
  <si>
    <t>BRDT</t>
  </si>
  <si>
    <t>CSNK2A1</t>
  </si>
  <si>
    <t>KDM2A</t>
  </si>
  <si>
    <t>INO80D</t>
  </si>
  <si>
    <t>EED</t>
  </si>
  <si>
    <t>MBD3</t>
  </si>
  <si>
    <t>HIST1H3E</t>
  </si>
  <si>
    <t>PLOD2</t>
  </si>
  <si>
    <t>BRPF1</t>
  </si>
  <si>
    <t>DAPK3</t>
  </si>
  <si>
    <t>KDM2B</t>
  </si>
  <si>
    <t>INO80E</t>
  </si>
  <si>
    <t>ENY2</t>
  </si>
  <si>
    <t>MBD4</t>
  </si>
  <si>
    <t>HIST1H4H</t>
  </si>
  <si>
    <t>CREST</t>
  </si>
  <si>
    <t>PLOD3</t>
  </si>
  <si>
    <t>BRPF3</t>
  </si>
  <si>
    <t>DOT1L</t>
  </si>
  <si>
    <t>KDM3A</t>
  </si>
  <si>
    <t>KNTC1</t>
  </si>
  <si>
    <t>MBD5</t>
  </si>
  <si>
    <t>HIST2H2BE</t>
  </si>
  <si>
    <t>DPF1</t>
  </si>
  <si>
    <t>P4HTM</t>
  </si>
  <si>
    <t>BRWD1</t>
  </si>
  <si>
    <t>DTX3L</t>
  </si>
  <si>
    <t>KDM3B</t>
  </si>
  <si>
    <t>MIS12</t>
  </si>
  <si>
    <t>MBD6</t>
  </si>
  <si>
    <t>HIST2H4A</t>
  </si>
  <si>
    <t>BRWD3</t>
  </si>
  <si>
    <t>EHMT1</t>
  </si>
  <si>
    <t>KDM4A</t>
  </si>
  <si>
    <t>MIS18A</t>
  </si>
  <si>
    <t>FAM175B</t>
  </si>
  <si>
    <t>MCM2</t>
  </si>
  <si>
    <t>HIST4H4</t>
  </si>
  <si>
    <t>CBX1</t>
  </si>
  <si>
    <t>C20ORF20</t>
  </si>
  <si>
    <t>EHMT2</t>
  </si>
  <si>
    <t>KDM4B</t>
  </si>
  <si>
    <t>MIS18BP1</t>
  </si>
  <si>
    <t>FBXL19</t>
  </si>
  <si>
    <t>MCM3</t>
  </si>
  <si>
    <t>SYT</t>
  </si>
  <si>
    <t>ELP3</t>
  </si>
  <si>
    <t>KDM4C</t>
  </si>
  <si>
    <t>NDC80</t>
  </si>
  <si>
    <t>HCFC1</t>
  </si>
  <si>
    <t>MCM4</t>
  </si>
  <si>
    <t>CBX3</t>
  </si>
  <si>
    <t>KDM4D</t>
  </si>
  <si>
    <t>NFRKB</t>
  </si>
  <si>
    <t>JARID2</t>
  </si>
  <si>
    <t>MCM5</t>
  </si>
  <si>
    <t>CBX5</t>
  </si>
  <si>
    <t>EZH1</t>
  </si>
  <si>
    <t>KDM5A</t>
  </si>
  <si>
    <t>NSL1</t>
  </si>
  <si>
    <t>L3MBTL1</t>
  </si>
  <si>
    <t>MCM6</t>
  </si>
  <si>
    <t>CCDC101</t>
  </si>
  <si>
    <t>EZH2</t>
  </si>
  <si>
    <t>KDM5B</t>
  </si>
  <si>
    <t>NUF2</t>
  </si>
  <si>
    <t>L3MBTL2</t>
  </si>
  <si>
    <t>MCM7</t>
  </si>
  <si>
    <t>PHF10</t>
  </si>
  <si>
    <t>GSG2</t>
  </si>
  <si>
    <t>KDM5C</t>
  </si>
  <si>
    <t>OIP5</t>
  </si>
  <si>
    <t>L3MBTL3</t>
  </si>
  <si>
    <t>MECP2</t>
  </si>
  <si>
    <t>CHD1L</t>
  </si>
  <si>
    <t>L3MBTL4</t>
  </si>
  <si>
    <t>RSF1</t>
  </si>
  <si>
    <t>HAT1</t>
  </si>
  <si>
    <t>KDM6A</t>
  </si>
  <si>
    <t>MBD1</t>
  </si>
  <si>
    <t>SIN3A</t>
  </si>
  <si>
    <t>HLCS</t>
  </si>
  <si>
    <t>KDM6B</t>
  </si>
  <si>
    <t>PHF11</t>
  </si>
  <si>
    <t>MCRS1</t>
  </si>
  <si>
    <t>SIN3B</t>
  </si>
  <si>
    <t>CHD8</t>
  </si>
  <si>
    <t>HUWE1</t>
  </si>
  <si>
    <t>MINA</t>
  </si>
  <si>
    <t>PHF13</t>
  </si>
  <si>
    <t>MEAF6</t>
  </si>
  <si>
    <t>SP100</t>
  </si>
  <si>
    <t>FAM175A</t>
  </si>
  <si>
    <t>JAK2</t>
  </si>
  <si>
    <t>POLE3</t>
  </si>
  <si>
    <t>MEN1</t>
  </si>
  <si>
    <t>SSRP1</t>
  </si>
  <si>
    <t>CHAF1B</t>
  </si>
  <si>
    <t>GATAD2A</t>
  </si>
  <si>
    <t>KAT2A</t>
  </si>
  <si>
    <t>PPP4C</t>
  </si>
  <si>
    <t>RAD51</t>
  </si>
  <si>
    <t>MSL2</t>
  </si>
  <si>
    <t>TERF2</t>
  </si>
  <si>
    <t>GATAD2B</t>
  </si>
  <si>
    <t>KAT5</t>
  </si>
  <si>
    <t>PPP5C</t>
  </si>
  <si>
    <t>RAD54B</t>
  </si>
  <si>
    <t>MTF1</t>
  </si>
  <si>
    <t>TET1</t>
  </si>
  <si>
    <t>GLYR1</t>
  </si>
  <si>
    <t>KAT6A</t>
  </si>
  <si>
    <t>RAD54L</t>
  </si>
  <si>
    <t>MTF2</t>
  </si>
  <si>
    <t>HIRA</t>
  </si>
  <si>
    <t>KAT6B</t>
  </si>
  <si>
    <t>SIRT2</t>
  </si>
  <si>
    <t>RAI1</t>
  </si>
  <si>
    <t>MYC</t>
  </si>
  <si>
    <t>HMGN1</t>
  </si>
  <si>
    <t>KAT7</t>
  </si>
  <si>
    <t>SIRT3</t>
  </si>
  <si>
    <t>SKA1</t>
  </si>
  <si>
    <t>NFE2</t>
  </si>
  <si>
    <t>UNG</t>
  </si>
  <si>
    <t>CSNK2A2</t>
  </si>
  <si>
    <t>HMGN2</t>
  </si>
  <si>
    <t>KAT8</t>
  </si>
  <si>
    <t>SIRT4</t>
  </si>
  <si>
    <t>SKA2</t>
  </si>
  <si>
    <t>NFYA</t>
  </si>
  <si>
    <t>YY1</t>
  </si>
  <si>
    <t>CSNK2B</t>
  </si>
  <si>
    <t>HMGN3</t>
  </si>
  <si>
    <t>MAP3K12</t>
  </si>
  <si>
    <t>SIRT5</t>
  </si>
  <si>
    <t>SKA3</t>
  </si>
  <si>
    <t>NFYB</t>
  </si>
  <si>
    <t>CTBP2</t>
  </si>
  <si>
    <t>HMGN5</t>
  </si>
  <si>
    <t>MGEA5</t>
  </si>
  <si>
    <t>SIRT6</t>
  </si>
  <si>
    <t>NFYC</t>
  </si>
  <si>
    <t>ING1</t>
  </si>
  <si>
    <t>MLL</t>
  </si>
  <si>
    <t>SIRT7</t>
  </si>
  <si>
    <t>ORC1</t>
  </si>
  <si>
    <t>CXXC4</t>
  </si>
  <si>
    <t>ING2</t>
  </si>
  <si>
    <t>USP12</t>
  </si>
  <si>
    <t>PCGF1</t>
  </si>
  <si>
    <t>CXXC5</t>
  </si>
  <si>
    <t>USP16</t>
  </si>
  <si>
    <t>PCGF2</t>
  </si>
  <si>
    <t>ING4</t>
  </si>
  <si>
    <t>MLL4</t>
  </si>
  <si>
    <t>USP21</t>
  </si>
  <si>
    <t>PHC1</t>
  </si>
  <si>
    <t>ING5</t>
  </si>
  <si>
    <t>USP22</t>
  </si>
  <si>
    <t>SPC25</t>
  </si>
  <si>
    <t>PHC2</t>
  </si>
  <si>
    <t>DLK1</t>
  </si>
  <si>
    <t>KEAP1</t>
  </si>
  <si>
    <t>USP3</t>
  </si>
  <si>
    <t>TFPT</t>
  </si>
  <si>
    <t>LRWD1</t>
  </si>
  <si>
    <t>USP46</t>
  </si>
  <si>
    <t>RBBP4</t>
  </si>
  <si>
    <t>MBD2</t>
  </si>
  <si>
    <t>NAT10</t>
  </si>
  <si>
    <t>USP7</t>
  </si>
  <si>
    <t>MBTD1</t>
  </si>
  <si>
    <t>NCOA1</t>
  </si>
  <si>
    <t>UTY</t>
  </si>
  <si>
    <t>RBBP7</t>
  </si>
  <si>
    <t>MDC1</t>
  </si>
  <si>
    <t>SCMH1</t>
  </si>
  <si>
    <t>MECOM</t>
  </si>
  <si>
    <t>NCOA6</t>
  </si>
  <si>
    <t>SCML2</t>
  </si>
  <si>
    <t>E2F6</t>
  </si>
  <si>
    <t>MORF4L1</t>
  </si>
  <si>
    <t>NEK6</t>
  </si>
  <si>
    <t>SUPT3H</t>
  </si>
  <si>
    <t>MORF4L2</t>
  </si>
  <si>
    <t>NEK9</t>
  </si>
  <si>
    <t>SUPT7L</t>
  </si>
  <si>
    <t>MSL3</t>
  </si>
  <si>
    <t>NSD1</t>
  </si>
  <si>
    <t>EIF2C2</t>
  </si>
  <si>
    <t>MUM1</t>
  </si>
  <si>
    <t>OGT</t>
  </si>
  <si>
    <t>TADA1</t>
  </si>
  <si>
    <t>EIF2C3</t>
  </si>
  <si>
    <t>NBN</t>
  </si>
  <si>
    <t>PAK2</t>
  </si>
  <si>
    <t>TADA2B</t>
  </si>
  <si>
    <t>PAF1</t>
  </si>
  <si>
    <t>PARP1</t>
  </si>
  <si>
    <t>TADA3</t>
  </si>
  <si>
    <t>PCNA</t>
  </si>
  <si>
    <t>PARP10</t>
  </si>
  <si>
    <t>PHF1</t>
  </si>
  <si>
    <t>PARP11</t>
  </si>
  <si>
    <t>UIMC1</t>
  </si>
  <si>
    <t>PHF14</t>
  </si>
  <si>
    <t>PARP12</t>
  </si>
  <si>
    <t>WDR5</t>
  </si>
  <si>
    <t>PHF15</t>
  </si>
  <si>
    <t>PARP14</t>
  </si>
  <si>
    <t>WDR82</t>
  </si>
  <si>
    <t>GADD45A</t>
  </si>
  <si>
    <t>PHF16</t>
  </si>
  <si>
    <t>PARP15</t>
  </si>
  <si>
    <t>YEATS4</t>
  </si>
  <si>
    <t>GADD45B</t>
  </si>
  <si>
    <t>PHF17</t>
  </si>
  <si>
    <t>PARP16</t>
  </si>
  <si>
    <t>PHF19</t>
  </si>
  <si>
    <t>PARP2</t>
  </si>
  <si>
    <t>PARP3</t>
  </si>
  <si>
    <t>GTF2A2</t>
  </si>
  <si>
    <t>PARP4</t>
  </si>
  <si>
    <t>GTF2B</t>
  </si>
  <si>
    <t>PHF20L1</t>
  </si>
  <si>
    <t>PARP6</t>
  </si>
  <si>
    <t>GTF2E1</t>
  </si>
  <si>
    <t>PHF21A</t>
  </si>
  <si>
    <t>PARP8</t>
  </si>
  <si>
    <t>GTF2E2</t>
  </si>
  <si>
    <t>PHF23</t>
  </si>
  <si>
    <t>PARP9</t>
  </si>
  <si>
    <t>GTF2F1</t>
  </si>
  <si>
    <t>PHF3</t>
  </si>
  <si>
    <t>PKN1</t>
  </si>
  <si>
    <t>GTF2F2</t>
  </si>
  <si>
    <t>PHF5A</t>
  </si>
  <si>
    <t>PRDM1</t>
  </si>
  <si>
    <t>GTF2H1</t>
  </si>
  <si>
    <t>PRDM10</t>
  </si>
  <si>
    <t>GTF2H2</t>
  </si>
  <si>
    <t>PHF7</t>
  </si>
  <si>
    <t>PRDM11</t>
  </si>
  <si>
    <t>PHF8</t>
  </si>
  <si>
    <t>PRDM14</t>
  </si>
  <si>
    <t>GTF2H4</t>
  </si>
  <si>
    <t>PHIP</t>
  </si>
  <si>
    <t>PRDM15</t>
  </si>
  <si>
    <t>GTF2H5</t>
  </si>
  <si>
    <t>HIF1AN</t>
  </si>
  <si>
    <t>RAD18</t>
  </si>
  <si>
    <t>PRDM16</t>
  </si>
  <si>
    <t>RAG1</t>
  </si>
  <si>
    <t>PRDM2</t>
  </si>
  <si>
    <t>HMGB1</t>
  </si>
  <si>
    <t>RUVBL1</t>
  </si>
  <si>
    <t>PRDM4</t>
  </si>
  <si>
    <t>HR</t>
  </si>
  <si>
    <t>RUVBL2</t>
  </si>
  <si>
    <t>PRDM5</t>
  </si>
  <si>
    <t>HSPBAP1</t>
  </si>
  <si>
    <t>SERPINE1</t>
  </si>
  <si>
    <t>PRDM6</t>
  </si>
  <si>
    <t>HTATIP</t>
  </si>
  <si>
    <t>SFMBT1</t>
  </si>
  <si>
    <t>PRDM7</t>
  </si>
  <si>
    <t>SFMBT2</t>
  </si>
  <si>
    <t>PRDM8</t>
  </si>
  <si>
    <t>SMARCA1</t>
  </si>
  <si>
    <t>PRKCB</t>
  </si>
  <si>
    <t>PRKCD</t>
  </si>
  <si>
    <t>PRKDC</t>
  </si>
  <si>
    <t>PRMT1</t>
  </si>
  <si>
    <t>SMARCAD1</t>
  </si>
  <si>
    <t>PRMT2</t>
  </si>
  <si>
    <t>SMARCAL1</t>
  </si>
  <si>
    <t>PRMT3</t>
  </si>
  <si>
    <t>PRMT5</t>
  </si>
  <si>
    <t>JMJD4</t>
  </si>
  <si>
    <t>PRMT6</t>
  </si>
  <si>
    <t>SMC1A</t>
  </si>
  <si>
    <t>PRMT7</t>
  </si>
  <si>
    <t>SP140</t>
  </si>
  <si>
    <t>RING1</t>
  </si>
  <si>
    <t>JMJD7</t>
  </si>
  <si>
    <t>SP140L</t>
  </si>
  <si>
    <t>JMJD8</t>
  </si>
  <si>
    <t>SRCAP</t>
  </si>
  <si>
    <t>RNF2</t>
  </si>
  <si>
    <t>TDRD3</t>
  </si>
  <si>
    <t>RNF20</t>
  </si>
  <si>
    <t>KLHDC2</t>
  </si>
  <si>
    <t>TP53BP1</t>
  </si>
  <si>
    <t>RNF40</t>
  </si>
  <si>
    <t>TRIM24</t>
  </si>
  <si>
    <t>RNF8</t>
  </si>
  <si>
    <t>TRIM28</t>
  </si>
  <si>
    <t>RPS6KA4</t>
  </si>
  <si>
    <t>TRIM66</t>
  </si>
  <si>
    <t>RPS6KA5</t>
  </si>
  <si>
    <t>VPS72</t>
  </si>
  <si>
    <t>SET</t>
  </si>
  <si>
    <t>ZMYM1</t>
  </si>
  <si>
    <t>SETD1A</t>
  </si>
  <si>
    <t>MDM2</t>
  </si>
  <si>
    <t>ZMYM4</t>
  </si>
  <si>
    <t>ZMYM5</t>
  </si>
  <si>
    <t>ZMYM6</t>
  </si>
  <si>
    <t>SETD3</t>
  </si>
  <si>
    <t>ZMYND11</t>
  </si>
  <si>
    <t>SETD4</t>
  </si>
  <si>
    <t>ZMYND8</t>
  </si>
  <si>
    <t>SETD5</t>
  </si>
  <si>
    <t>SETD6</t>
  </si>
  <si>
    <t>MLLT1</t>
  </si>
  <si>
    <t>SETD7</t>
  </si>
  <si>
    <t>SETD8</t>
  </si>
  <si>
    <t>SETDB1</t>
  </si>
  <si>
    <t>SETDB2</t>
  </si>
  <si>
    <t>SETMAR</t>
  </si>
  <si>
    <t>SHPRH</t>
  </si>
  <si>
    <t>SLK</t>
  </si>
  <si>
    <t>MYST1</t>
  </si>
  <si>
    <t>SMYD2</t>
  </si>
  <si>
    <t>SMYD3</t>
  </si>
  <si>
    <t>KMT2A</t>
  </si>
  <si>
    <t>SMYD4</t>
  </si>
  <si>
    <t>KMT2B</t>
  </si>
  <si>
    <t>SMYD5</t>
  </si>
  <si>
    <t>KMT2C</t>
  </si>
  <si>
    <t>SRC</t>
  </si>
  <si>
    <t>KMT2D</t>
  </si>
  <si>
    <t>STK4</t>
  </si>
  <si>
    <t>PALLD</t>
  </si>
  <si>
    <t>SUV39H1</t>
  </si>
  <si>
    <t>SUV39H2</t>
  </si>
  <si>
    <t>SUV420H2</t>
  </si>
  <si>
    <t>PCGF3</t>
  </si>
  <si>
    <t>PCGF5</t>
  </si>
  <si>
    <t>TAF10</t>
  </si>
  <si>
    <t>PCGF6</t>
  </si>
  <si>
    <t>TAF12</t>
  </si>
  <si>
    <t>TAF1L</t>
  </si>
  <si>
    <t>MGMT</t>
  </si>
  <si>
    <t>TAF5L</t>
  </si>
  <si>
    <t>TAF6L</t>
  </si>
  <si>
    <t>TAF9</t>
  </si>
  <si>
    <t>MLL1</t>
  </si>
  <si>
    <t>TRIM33</t>
  </si>
  <si>
    <t>UBE2A</t>
  </si>
  <si>
    <t>PIWIL1</t>
  </si>
  <si>
    <t>UBE2B</t>
  </si>
  <si>
    <t>UBR1</t>
  </si>
  <si>
    <t>UBR3</t>
  </si>
  <si>
    <t>UBR4</t>
  </si>
  <si>
    <t>UBR5</t>
  </si>
  <si>
    <t>PYCR1</t>
  </si>
  <si>
    <t>UBR7</t>
  </si>
  <si>
    <t>UCHL5</t>
  </si>
  <si>
    <t>UHRF1</t>
  </si>
  <si>
    <t>UHRF2</t>
  </si>
  <si>
    <t>VRK1</t>
  </si>
  <si>
    <t>WHSC1L1</t>
  </si>
  <si>
    <t>ZAK</t>
  </si>
  <si>
    <t>RYBP</t>
  </si>
  <si>
    <t>PRDM9</t>
  </si>
  <si>
    <t>TAF6</t>
  </si>
  <si>
    <t>TBL1XR1</t>
  </si>
  <si>
    <t>TBP</t>
  </si>
  <si>
    <t>TGM2</t>
  </si>
  <si>
    <t>THOC6</t>
  </si>
  <si>
    <t>TRDMT1</t>
  </si>
  <si>
    <t>UBE2E1</t>
  </si>
  <si>
    <t>WHSC1</t>
  </si>
  <si>
    <t>XCL1</t>
  </si>
  <si>
    <t>XRCC5</t>
  </si>
  <si>
    <t>YAF2</t>
  </si>
  <si>
    <t>YWHAQ</t>
  </si>
  <si>
    <t>ZBTB33</t>
  </si>
  <si>
    <t>SNIN3A</t>
  </si>
  <si>
    <t>TYW5</t>
  </si>
  <si>
    <t xml:space="preserve">UTY </t>
  </si>
  <si>
    <t>ZW10</t>
  </si>
  <si>
    <t>ZWILCH</t>
  </si>
  <si>
    <t>SIZE</t>
  </si>
  <si>
    <t>ES</t>
  </si>
  <si>
    <t>NES</t>
  </si>
  <si>
    <t>NOM p-val</t>
  </si>
  <si>
    <t>FDR q-val</t>
  </si>
  <si>
    <t>FWER p-val</t>
  </si>
  <si>
    <t>RANK AT MAX</t>
  </si>
  <si>
    <t>LEADING EDGE</t>
  </si>
  <si>
    <t>MITOCHONDRIAL_ENVELOPE</t>
  </si>
  <si>
    <t>tags=61%, list=14%, signal=71%</t>
  </si>
  <si>
    <t>MITOCHONDRIAL_PART</t>
  </si>
  <si>
    <t>tags=62%, list=14%, signal=72%</t>
  </si>
  <si>
    <t>MITOCHONDRIAL_MEMBRANE_PART</t>
  </si>
  <si>
    <t>tags=78%, list=13%, signal=90%</t>
  </si>
  <si>
    <t>MITOCHONDRIAL_MEMBRANE</t>
  </si>
  <si>
    <t>tags=65%, list=14%, signal=75%</t>
  </si>
  <si>
    <t>ORGANELLE_INNER_MEMBRANE</t>
  </si>
  <si>
    <t>tags=68%, list=14%, signal=78%</t>
  </si>
  <si>
    <t>MITOCHONDRIAL_INNER_MEMBRANE</t>
  </si>
  <si>
    <t>tags=75%, list=14%, signal=86%</t>
  </si>
  <si>
    <t>MITOCHONDRION</t>
  </si>
  <si>
    <t>tags=62%, list=21%, signal=76%</t>
  </si>
  <si>
    <t>MITOCHONDRIAL_MATRIX</t>
  </si>
  <si>
    <t>tags=63%, list=11%, signal=71%</t>
  </si>
  <si>
    <t>MITOCHONDRIAL_LUMEN</t>
  </si>
  <si>
    <t>RIBOSOME</t>
  </si>
  <si>
    <t>tags=78%, list=20%, signal=97%</t>
  </si>
  <si>
    <t>SECONDARY_METABOLIC_PROCESS</t>
  </si>
  <si>
    <t>tags=71%, list=28%, signal=98%</t>
  </si>
  <si>
    <t>ORGANELLAR_RIBOSOME</t>
  </si>
  <si>
    <t>tags=82%, list=11%, signal=92%</t>
  </si>
  <si>
    <t>MITOCHONDRIAL_RIBOSOME</t>
  </si>
  <si>
    <t>PROTON_TRANSPORTING_TWO_SECTOR_ATPASE_COMPLEX</t>
  </si>
  <si>
    <t>tags=73%, list=8%, signal=80%</t>
  </si>
  <si>
    <t>MITOCHONDRIAL_RESPIRATORY_CHAIN</t>
  </si>
  <si>
    <t>tags=87%, list=13%, signal=100%</t>
  </si>
  <si>
    <t>ENERGY_DERIVATION_BY_OXIDATION_OF_ORGANIC_COMPOUNDS</t>
  </si>
  <si>
    <t>tags=49%, list=16%, signal=58%</t>
  </si>
  <si>
    <t>RIBOSOMAL_SUBUNIT</t>
  </si>
  <si>
    <t>tags=75%, list=11%, signal=85%</t>
  </si>
  <si>
    <t>ORGANELLE_ENVELOPE</t>
  </si>
  <si>
    <t>tags=41%, list=14%, signal=47%</t>
  </si>
  <si>
    <t>ENVELOPE</t>
  </si>
  <si>
    <t>HYDROGEN_ION_TRANSMEMBRANE_TRANSPORTER_ACTIVITY</t>
  </si>
  <si>
    <t>tags=60%, list=10%, signal=67%</t>
  </si>
  <si>
    <t>AEROBIC_RESPIRATION</t>
  </si>
  <si>
    <t>tags=80%, list=18%, signal=98%</t>
  </si>
  <si>
    <t>CELLULAR_RESPIRATION</t>
  </si>
  <si>
    <t>tags=79%, list=18%, signal=97%</t>
  </si>
  <si>
    <t>PIGMENT_METABOLIC_PROCESS</t>
  </si>
  <si>
    <t>tags=63%, list=28%, signal=87%</t>
  </si>
  <si>
    <t>PIGMENT_BIOSYNTHETIC_PROCESS</t>
  </si>
  <si>
    <t>tags=60%, list=28%, signal=83%</t>
  </si>
  <si>
    <t>NITROGEN_COMPOUND_CATABOLIC_PROCESS</t>
  </si>
  <si>
    <t>tags=69%, list=21%, signal=87%</t>
  </si>
  <si>
    <t>MONOVALENT_INORGANIC_CATION_TRANSMEMBRANE_TRANSPORTER_ACTIVITY</t>
  </si>
  <si>
    <t>tags=48%, list=10%, signal=54%</t>
  </si>
  <si>
    <t>OXIDOREDUCTASE_ACTIVITY_GO_0016616</t>
  </si>
  <si>
    <t>tags=60%, list=24%, signal=79%</t>
  </si>
  <si>
    <t>FATTY_ACID_OXIDATION</t>
  </si>
  <si>
    <t>tags=44%, list=11%, signal=50%</t>
  </si>
  <si>
    <t>MITOCHONDRION_ORGANIZATION_AND_BIOGENESIS</t>
  </si>
  <si>
    <t>tags=43%, list=14%, signal=50%</t>
  </si>
  <si>
    <t>RESPONSE_TO_OXIDATIVE_STRESS</t>
  </si>
  <si>
    <t>tags=53%, list=21%, signal=67%</t>
  </si>
  <si>
    <t>ORGANELLE_MEMBRANE</t>
  </si>
  <si>
    <t>tags=34%, list=16%, signal=39%</t>
  </si>
  <si>
    <t>AMINE_CATABOLIC_PROCESS</t>
  </si>
  <si>
    <t>tags=67%, list=21%, signal=84%</t>
  </si>
  <si>
    <t>tags=79%, list=28%, signal=110%</t>
  </si>
  <si>
    <t>ELECTRON_CARRIER_ACTIVITY</t>
  </si>
  <si>
    <t>tags=47%, list=16%, signal=56%</t>
  </si>
  <si>
    <t>PROTEASOME_COMPLEX</t>
  </si>
  <si>
    <t>tags=52%, list=15%, signal=61%</t>
  </si>
  <si>
    <t>STRUCTURAL_CONSTITUENT_OF_RIBOSOME</t>
  </si>
  <si>
    <t>tags=87%, list=27%, signal=118%</t>
  </si>
  <si>
    <t>OXIDOREDUCTASE_ACTIVITY_ACTING_ON_THE_CH_CH_GROUP_OF_DONORS</t>
  </si>
  <si>
    <t>tags=65%, list=28%, signal=91%</t>
  </si>
  <si>
    <t>LIPID_CATABOLIC_PROCESS</t>
  </si>
  <si>
    <t>tags=53%, list=20%, signal=66%</t>
  </si>
  <si>
    <t>COFACTOR_METABOLIC_PROCESS</t>
  </si>
  <si>
    <t>tags=67%, list=28%, signal=92%</t>
  </si>
  <si>
    <t>CELLULAR_LIPID_CATABOLIC_PROCESS</t>
  </si>
  <si>
    <t>tags=50%, list=20%, signal=63%</t>
  </si>
  <si>
    <t>AMINO_ACID_CATABOLIC_PROCESS</t>
  </si>
  <si>
    <t>tags=68%, list=21%, signal=86%</t>
  </si>
  <si>
    <t>OXIDOREDUCTASE_ACTIVITY_ACTING_ON_CH_OH_GROUP_OF_DONORS</t>
  </si>
  <si>
    <t>tags=59%, list=24%, signal=78%</t>
  </si>
  <si>
    <t>RIBONUCLEOPROTEIN_COMPLEX</t>
  </si>
  <si>
    <t>tags=41%, list=18%, signal=50%</t>
  </si>
  <si>
    <t>UNFOLDED_PROTEIN_BINDING</t>
  </si>
  <si>
    <t>tags=46%, list=16%, signal=55%</t>
  </si>
  <si>
    <t>INTRINSIC_TO_ENDOPLASMIC_RETICULUM_MEMBRANE</t>
  </si>
  <si>
    <t>tags=52%, list=19%, signal=64%</t>
  </si>
  <si>
    <t>INTEGRAL_TO_ENDOPLASMIC_RETICULUM_MEMBRANE</t>
  </si>
  <si>
    <t>ISOMERASE_ACTIVITY</t>
  </si>
  <si>
    <t>tags=55%, list=20%, signal=68%</t>
  </si>
  <si>
    <t>OXIDOREDUCTASE_ACTIVITY</t>
  </si>
  <si>
    <t>tags=46%, list=21%, signal=57%</t>
  </si>
  <si>
    <t>LYASE_ACTIVITY</t>
  </si>
  <si>
    <t>tags=57%, list=24%, signal=75%</t>
  </si>
  <si>
    <t>ORGANIC_ACID_METABOLIC_PROCESS</t>
  </si>
  <si>
    <t>tags=48%, list=21%, signal=60%</t>
  </si>
  <si>
    <t>MITOCHONDRIAL_TRANSPORT</t>
  </si>
  <si>
    <t>tags=47%, list=14%, signal=55%</t>
  </si>
  <si>
    <t>INTRAMOLECULAR_OXIDOREDUCTASE_ACTIVITY</t>
  </si>
  <si>
    <t>tags=65%, list=20%, signal=81%</t>
  </si>
  <si>
    <t>CARBON_OXYGEN_LYASE_ACTIVITY</t>
  </si>
  <si>
    <t>tags=68%, list=24%, signal=89%</t>
  </si>
  <si>
    <t>GENERATION_OF_PRECURSOR_METABOLITES_AND_ENERGY</t>
  </si>
  <si>
    <t>tags=45%, list=20%, signal=56%</t>
  </si>
  <si>
    <t>HORMONE_METABOLIC_PROCESS</t>
  </si>
  <si>
    <t>tags=63%, list=25%, signal=85%</t>
  </si>
  <si>
    <t>COFACTOR_BIOSYNTHETIC_PROCESS</t>
  </si>
  <si>
    <t>tags=67%, list=25%, signal=89%</t>
  </si>
  <si>
    <t>CARBON_CARBON_LYASE_ACTIVITY</t>
  </si>
  <si>
    <t>tags=67%, list=26%, signal=90%</t>
  </si>
  <si>
    <t>CARBOXYLIC_ACID_METABOLIC_PROCESS</t>
  </si>
  <si>
    <t>tags=47%, list=21%, signal=59%</t>
  </si>
  <si>
    <t>ENDOPLASMIC_RETICULUM_PART</t>
  </si>
  <si>
    <t>tags=33%, list=16%, signal=39%</t>
  </si>
  <si>
    <t>MYOSIN_COMPLEX</t>
  </si>
  <si>
    <t>tags=33%, list=9%, signal=37%</t>
  </si>
  <si>
    <t>AMINO_ACID_AND_DERIVATIVE_METABOLIC_PROCESS</t>
  </si>
  <si>
    <t>tags=51%, list=21%, signal=64%</t>
  </si>
  <si>
    <t>AMINO_ACID_METABOLIC_PROCESS</t>
  </si>
  <si>
    <t>tags=53%, list=21%, signal=66%</t>
  </si>
  <si>
    <t>HYDROLASE_ACTIVITY_ACTING_ON_CARBON_NITROGEN_NOT_PEPTIDEBONDSIN_LINEAR_AMIDES</t>
  </si>
  <si>
    <t>tags=52%, list=22%, signal=67%</t>
  </si>
  <si>
    <t>ENDOPLASMIC_RETICULUM_MEMBRANE</t>
  </si>
  <si>
    <t>OXIDOREDUCTASE_ACTIVITY_ACTING_ON_NADH_OR_NADPH</t>
  </si>
  <si>
    <t>tags=44%, list=13%, signal=50%</t>
  </si>
  <si>
    <t>COENZYME_METABOLIC_PROCESS</t>
  </si>
  <si>
    <t>tags=61%, list=27%, signal=82%</t>
  </si>
  <si>
    <t>CELLULAR_CATABOLIC_PROCESS</t>
  </si>
  <si>
    <t>tags=41%, list=21%, signal=51%</t>
  </si>
  <si>
    <t>OXYGEN_AND_REACTIVE_OXYGEN_SPECIES_METABOLIC_PROCESS</t>
  </si>
  <si>
    <t>tags=50%, list=17%, signal=60%</t>
  </si>
  <si>
    <t>FATTY_ACID_METABOLIC_PROCESS</t>
  </si>
  <si>
    <t>CELLULAR_BIOSYNTHETIC_PROCESS</t>
  </si>
  <si>
    <t>tags=44%, list=25%, signal=58%</t>
  </si>
  <si>
    <t>STEROID_METABOLIC_PROCESS</t>
  </si>
  <si>
    <t>tags=49%, list=24%, signal=64%</t>
  </si>
  <si>
    <t>CATABOLIC_PROCESS</t>
  </si>
  <si>
    <t>tags=40%, list=21%, signal=50%</t>
  </si>
  <si>
    <t>HYDRO_LYASE_ACTIVITY</t>
  </si>
  <si>
    <t>tags=67%, list=24%, signal=88%</t>
  </si>
  <si>
    <t>MONOCARBOXYLIC_ACID_METABOLIC_PROCESS</t>
  </si>
  <si>
    <t>tags=42%, list=20%, signal=53%</t>
  </si>
  <si>
    <t>NUCLEAR_ENVELOPE_ENDOPLASMIC_RETICULUM_NETWORK</t>
  </si>
  <si>
    <t>tags=36%, list=20%, signal=44%</t>
  </si>
  <si>
    <t>PHOSPHOTRANSFERASE_ACTIVITY_PHOSPHATE_GROUP_AS_ACCEPTOR</t>
  </si>
  <si>
    <t>tags=50%, list=24%, signal=66%</t>
  </si>
  <si>
    <t>PROTEIN_FOLDING</t>
  </si>
  <si>
    <t>tags=49%, list=25%, signal=65%</t>
  </si>
  <si>
    <t>NITROGEN_COMPOUND_METABOLIC_PROCESS</t>
  </si>
  <si>
    <t>tags=42%, list=21%, signal=52%</t>
  </si>
  <si>
    <t>ORGANELLE_OUTER_MEMBRANE</t>
  </si>
  <si>
    <t>tags=57%, list=28%, signal=79%</t>
  </si>
  <si>
    <t>NUCLEOBASENUCLEOSIDENUCLEOTIDE_KINASE_ACTIVITY</t>
  </si>
  <si>
    <t>tags=56%, list=24%, signal=73%</t>
  </si>
  <si>
    <t>INORGANIC_CATION_TRANSMEMBRANE_TRANSPORTER_ACTIVITY</t>
  </si>
  <si>
    <t>tags=41%, list=17%, signal=49%</t>
  </si>
  <si>
    <t>APOPTOTIC_NUCLEAR_CHANGES</t>
  </si>
  <si>
    <t>tags=39%, list=11%, signal=44%</t>
  </si>
  <si>
    <t>CELLULAR_PROTEIN_COMPLEX_ASSEMBLY</t>
  </si>
  <si>
    <t>tags=24%, list=10%, signal=27%</t>
  </si>
  <si>
    <t>SMALL_NUCLEAR_RIBONUCLEOPROTEIN_COMPLEX</t>
  </si>
  <si>
    <t>TRANSLATION</t>
  </si>
  <si>
    <t>tags=52%, list=27%, signal=71%</t>
  </si>
  <si>
    <t>BIOSYNTHETIC_PROCESS</t>
  </si>
  <si>
    <t>tags=39%, list=25%, signal=51%</t>
  </si>
  <si>
    <t>OUTER_MEMBRANE</t>
  </si>
  <si>
    <t>tags=54%, list=28%, signal=76%</t>
  </si>
  <si>
    <t>CELLULAR_LIPID_METABOLIC_PROCESS</t>
  </si>
  <si>
    <t>tags=36%, list=20%, signal=45%</t>
  </si>
  <si>
    <t>DRUG_BINDING</t>
  </si>
  <si>
    <t>tags=50%, list=21%, signal=64%</t>
  </si>
  <si>
    <t>MITOCHONDRIAL_OUTER_MEMBRANE</t>
  </si>
  <si>
    <t>tags=33%, list=14%, signal=39%</t>
  </si>
  <si>
    <t>CELLULAR_CARBOHYDRATE_CATABOLIC_PROCESS</t>
  </si>
  <si>
    <t>tags=35%, list=12%, signal=40%</t>
  </si>
  <si>
    <t>CARBOHYDRATE_CATABOLIC_PROCESS</t>
  </si>
  <si>
    <t>AMINE_METABOLIC_PROCESS</t>
  </si>
  <si>
    <t>NEGATIVE_REGULATION_OF_TRANSCRIPTION_FACTOR_ACTIVITY</t>
  </si>
  <si>
    <t>tags=47%, list=18%, signal=57%</t>
  </si>
  <si>
    <t>GLYCEROPHOSPHOLIPID_BIOSYNTHETIC_PROCESS</t>
  </si>
  <si>
    <t>tags=37%, list=19%, signal=45%</t>
  </si>
  <si>
    <t>CYTOSOLIC_PART</t>
  </si>
  <si>
    <t>tags=47%, list=18%, signal=58%</t>
  </si>
  <si>
    <t>AUTOPHAGY_LYSOZOME</t>
  </si>
  <si>
    <t>tags=28%, list=15%, signal=33%</t>
  </si>
  <si>
    <t>LIPID_BIOSYNTHETIC_PROCESS</t>
  </si>
  <si>
    <t>tags=33%, list=20%, signal=42%</t>
  </si>
  <si>
    <t>ELECTRON_TRANSPORT_GO_0006118</t>
  </si>
  <si>
    <t>MACROMOLECULE_BIOSYNTHETIC_PROCESS</t>
  </si>
  <si>
    <t>tags=32%, list=20%, signal=40%</t>
  </si>
  <si>
    <t>ER_GOLGI_INTERMEDIATE_COMPARTMENT</t>
  </si>
  <si>
    <t>tags=48%, list=20%, signal=60%</t>
  </si>
  <si>
    <t>ENDOPLASMIC_RETICULUM</t>
  </si>
  <si>
    <t>tags=30%, list=19%, signal=36%</t>
  </si>
  <si>
    <t>ANTIOXIDANT_ACTIVITY</t>
  </si>
  <si>
    <t>tags=50%, list=21%, signal=63%</t>
  </si>
  <si>
    <t>STEROID_BIOSYNTHETIC_PROCESS</t>
  </si>
  <si>
    <t>tags=47%, list=20%, signal=60%</t>
  </si>
  <si>
    <t>DENDRITE</t>
  </si>
  <si>
    <t>tags=31%, list=9%, signal=34%</t>
  </si>
  <si>
    <t>CARBOHYDRATE_METABOLIC_PROCESS</t>
  </si>
  <si>
    <t>tags=28%, list=18%, signal=34%</t>
  </si>
  <si>
    <t>HYDROLASE_ACTIVITY_HYDROLYZING_O_GLYCOSYL_COMPOUNDS</t>
  </si>
  <si>
    <t>tags=34%, list=17%, signal=42%</t>
  </si>
  <si>
    <t>CARBOHYDRATE_TRANSMEMBRANE_TRANSPORTER_ACTIVITY</t>
  </si>
  <si>
    <t>tags=44%, list=22%, signal=56%</t>
  </si>
  <si>
    <t>SPLICEOSOME</t>
  </si>
  <si>
    <t>tags=30%, list=12%, signal=34%</t>
  </si>
  <si>
    <t>LIPID_TRANSPORT</t>
  </si>
  <si>
    <t>tags=43%, list=19%, signal=53%</t>
  </si>
  <si>
    <t>TRANSFERASE_ACTIVITY_TRANSFERRING_SULFUR_CONTAINING_GROUPS</t>
  </si>
  <si>
    <t>tags=23%, list=9%, signal=25%</t>
  </si>
  <si>
    <t>GLUCOSE_METABOLIC_PROCESS</t>
  </si>
  <si>
    <t>tags=31%, list=12%, signal=35%</t>
  </si>
  <si>
    <t>SERINE_TYPE_ENDOPEPTIDASE_INHIBITOR_ACTIVITY</t>
  </si>
  <si>
    <t>tags=68%, list=22%, signal=87%</t>
  </si>
  <si>
    <t>HYDROLASE_ACTIVITY_ACTING_ON_CARBON_NITROGEN_NOT_PEPTIDEBONDS</t>
  </si>
  <si>
    <t>tags=36%, list=22%, signal=46%</t>
  </si>
  <si>
    <t>INORGANIC_ANION_TRANSMEMBRANE_TRANSPORTER_ACTIVITY</t>
  </si>
  <si>
    <t>tags=26%, list=13%, signal=30%</t>
  </si>
  <si>
    <t>PHOSPHOLIPID_BIOSYNTHETIC_PROCESS</t>
  </si>
  <si>
    <t>tags=33%, list=19%, signal=41%</t>
  </si>
  <si>
    <t>LIPID_METABOLIC_PROCESS</t>
  </si>
  <si>
    <t>tags=34%, list=20%, signal=42%</t>
  </si>
  <si>
    <t>STEROID_BINDING</t>
  </si>
  <si>
    <t>tags=72%, list=31%, signal=104%</t>
  </si>
  <si>
    <t>LIPID_HOMEOSTASIS</t>
  </si>
  <si>
    <t>tags=75%, list=31%, signal=108%</t>
  </si>
  <si>
    <t>MICROBODY</t>
  </si>
  <si>
    <t>tags=35%, list=20%, signal=43%</t>
  </si>
  <si>
    <t>PEROXISOME</t>
  </si>
  <si>
    <t>EARLY_ENDOSOME</t>
  </si>
  <si>
    <t>tags=22%, list=6%, signal=24%</t>
  </si>
  <si>
    <t>ER_NUCLEAR_SIGNALING_PATHWAY</t>
  </si>
  <si>
    <t>tags=25%, list=8%, signal=27%</t>
  </si>
  <si>
    <t>RNA_POLYMERASE_ACTIVITY</t>
  </si>
  <si>
    <t>CYTOSOL</t>
  </si>
  <si>
    <t>tags=40%, list=24%, signal=51%</t>
  </si>
  <si>
    <t>PROTEIN_AMINO_ACID_N_LINKED_GLYCOSYLATION</t>
  </si>
  <si>
    <t>tags=37%, list=18%, signal=45%</t>
  </si>
  <si>
    <t>NEGATIVE_REGULATION_OF_CATALYTIC_ACTIVITY</t>
  </si>
  <si>
    <t>tags=38%, list=19%, signal=46%</t>
  </si>
  <si>
    <t>HYDROLASE_ACTIVITY_ACTING_ON_GLYCOSYL_BONDS</t>
  </si>
  <si>
    <t>tags=38%, list=22%, signal=49%</t>
  </si>
  <si>
    <t>MICROSOME</t>
  </si>
  <si>
    <t>tags=34%, list=18%, signal=42%</t>
  </si>
  <si>
    <t>ICOSANOID_METABOLIC_PROCESS</t>
  </si>
  <si>
    <t>tags=40%, list=20%, signal=50%</t>
  </si>
  <si>
    <t>GLYCOPROTEIN_BIOSYNTHETIC_PROCESS</t>
  </si>
  <si>
    <t>tags=28%, list=16%, signal=33%</t>
  </si>
  <si>
    <t>GLYCOPROTEIN_METABOLIC_PROCESS</t>
  </si>
  <si>
    <t>tags=26%, list=16%, signal=31%</t>
  </si>
  <si>
    <t>CELLULAR_CARBOHYDRATE_METABOLIC_PROCESS</t>
  </si>
  <si>
    <t>tags=29%, list=20%, signal=37%</t>
  </si>
  <si>
    <t>ALCOHOL_METABOLIC_PROCESS</t>
  </si>
  <si>
    <t>tags=37%, list=23%, signal=48%</t>
  </si>
  <si>
    <t>EXCRETION</t>
  </si>
  <si>
    <t>tags=32%, list=19%, signal=40%</t>
  </si>
  <si>
    <t>INTEGRAL_TO_ORGANELLE_MEMBRANE</t>
  </si>
  <si>
    <t>tags=31%, list=16%, signal=36%</t>
  </si>
  <si>
    <t>DEVELOPMENT_OF_PRIMARY_SEXUAL_CHARACTERISTICS</t>
  </si>
  <si>
    <t>tags=43%, list=27%, signal=59%</t>
  </si>
  <si>
    <t>COENZYME_BINDING</t>
  </si>
  <si>
    <t>tags=25%, list=16%, signal=30%</t>
  </si>
  <si>
    <t>INTRINSIC_TO_ORGANELLE_MEMBRANE</t>
  </si>
  <si>
    <t>tags=29%, list=16%, signal=35%</t>
  </si>
  <si>
    <t>MEMBRANE_LIPID_BIOSYNTHETIC_PROCESS</t>
  </si>
  <si>
    <t>tags=30%, list=19%, signal=37%</t>
  </si>
  <si>
    <t>APOPTOTIC_PROGRAM</t>
  </si>
  <si>
    <t>tags=34%, list=19%, signal=42%</t>
  </si>
  <si>
    <t>CARBOHYDRATE_KINASE_ACTIVITY</t>
  </si>
  <si>
    <t>tags=33%, list=12%, signal=38%</t>
  </si>
  <si>
    <t>ENZYME_INHIBITOR_ACTIVITY</t>
  </si>
  <si>
    <t>tags=33%, list=20%, signal=41%</t>
  </si>
  <si>
    <t>NEURON_APOPTOSIS</t>
  </si>
  <si>
    <t>tags=24%, list=5%, signal=25%</t>
  </si>
  <si>
    <t>APICAL_PART_OF_CELL</t>
  </si>
  <si>
    <t>tags=53%, list=27%, signal=73%</t>
  </si>
  <si>
    <t>VESICULAR_FRACTION</t>
  </si>
  <si>
    <t>tags=33%, list=18%, signal=40%</t>
  </si>
  <si>
    <t>CELL_STRUCTURE_DISASSEMBLY_DURING_APOPTOSIS</t>
  </si>
  <si>
    <t>tags=35%, list=11%, signal=40%</t>
  </si>
  <si>
    <t>NUCLEOLAR_PART</t>
  </si>
  <si>
    <t>tags=22%, list=7%, signal=24%</t>
  </si>
  <si>
    <t>HETEROCYCLE_METABOLIC_PROCESS</t>
  </si>
  <si>
    <t>tags=46%, list=28%, signal=64%</t>
  </si>
  <si>
    <t>SERINE_TYPE_ENDOPEPTIDASE_ACTIVITY</t>
  </si>
  <si>
    <t>tags=49%, list=21%, signal=62%</t>
  </si>
  <si>
    <t>TRANSFERASE_ACTIVITY_TRANSFERRING_GLYCOSYL_GROUPS</t>
  </si>
  <si>
    <t>tags=18%, list=11%, signal=20%</t>
  </si>
  <si>
    <t>REGULATION_OF_ENDOCYTOSIS</t>
  </si>
  <si>
    <t>tags=20%, list=4%, signal=21%</t>
  </si>
  <si>
    <t>DNA_CATABOLIC_PROCESS</t>
  </si>
  <si>
    <t>tags=36%, list=15%, signal=42%</t>
  </si>
  <si>
    <t>CELLULAR_PROTEIN_CATABOLIC_PROCESS</t>
  </si>
  <si>
    <t>tags=26%, list=17%, signal=31%</t>
  </si>
  <si>
    <t>MACROMOLECULE_CATABOLIC_PROCESS</t>
  </si>
  <si>
    <t>tags=21%, list=12%, signal=24%</t>
  </si>
  <si>
    <t>TRANSFERASE_ACTIVITY_TRANSFERRING_PENTOSYL_GROUPS</t>
  </si>
  <si>
    <t>ANION_TRANSPORT</t>
  </si>
  <si>
    <t>NUCLEOBASENUCLEOSIDE_AND_NUCLEOTIDE_METABOLIC_PROCESS</t>
  </si>
  <si>
    <t>tags=33%, list=22%, signal=43%</t>
  </si>
  <si>
    <t>AMINO_ACID_DERIVATIVE_METABOLIC_PROCESS</t>
  </si>
  <si>
    <t>tags=41%, list=20%, signal=51%</t>
  </si>
  <si>
    <t>REGULATION_OF_HEART_CONTRACTION</t>
  </si>
  <si>
    <t>tags=39%, list=20%, signal=49%</t>
  </si>
  <si>
    <t>NEGATIVE_REGULATION_OF_DNA_BINDING</t>
  </si>
  <si>
    <t>tags=35%, list=14%, signal=41%</t>
  </si>
  <si>
    <t>RIBONUCLEASE_ACTIVITY</t>
  </si>
  <si>
    <t>tags=39%, list=19%, signal=48%</t>
  </si>
  <si>
    <t>VESICLE_COAT</t>
  </si>
  <si>
    <t>tags=25%, list=9%, signal=28%</t>
  </si>
  <si>
    <t>TRANSLATIONAL_INITIATION</t>
  </si>
  <si>
    <t>tags=53%, list=31%, signal=76%</t>
  </si>
  <si>
    <t>LIGASE_ACTIVITY</t>
  </si>
  <si>
    <t>tags=33%, list=23%, signal=43%</t>
  </si>
  <si>
    <t>NUCLEAR_ORGANIZATION_AND_BIOGENESIS</t>
  </si>
  <si>
    <t>tags=27%, list=11%, signal=30%</t>
  </si>
  <si>
    <t>NITROGEN_COMPOUND_BIOSYNTHETIC_PROCESS</t>
  </si>
  <si>
    <t>tags=35%, list=18%, signal=42%</t>
  </si>
  <si>
    <t>MEMBRANE_COAT</t>
  </si>
  <si>
    <t>tags=24%, list=9%, signal=26%</t>
  </si>
  <si>
    <t>COATED_MEMBRANE</t>
  </si>
  <si>
    <t>SERINE_TYPE_PEPTIDASE_ACTIVITY</t>
  </si>
  <si>
    <t>tags=44%, list=21%, signal=55%</t>
  </si>
  <si>
    <t>RNA_SPLICINGVIA_TRANSESTERIFICATION_REACTIONS</t>
  </si>
  <si>
    <t>tags=32%, list=15%, signal=38%</t>
  </si>
  <si>
    <t>SERINE_HYDROLASE_ACTIVITY</t>
  </si>
  <si>
    <t>ZINC_ION_BINDING</t>
  </si>
  <si>
    <t>tags=18%, list=9%, signal=20%</t>
  </si>
  <si>
    <t>AROMATIC_COMPOUND_METABOLIC_PROCESS</t>
  </si>
  <si>
    <t>tags=32%, list=21%, signal=40%</t>
  </si>
  <si>
    <t>RNA_SPLICING</t>
  </si>
  <si>
    <t>tags=22%, list=11%, signal=25%</t>
  </si>
  <si>
    <t>COFACTOR_BINDING</t>
  </si>
  <si>
    <t>tags=45%, list=27%, signal=62%</t>
  </si>
  <si>
    <t>NUCLEOTIDYLTRANSFERASE_ACTIVITY</t>
  </si>
  <si>
    <t>tags=15%, list=8%, signal=16%</t>
  </si>
  <si>
    <t>NEGATIVE_REGULATION_OF_BINDING</t>
  </si>
  <si>
    <t>CELLULAR_MACROMOLECULE_CATABOLIC_PROCESS</t>
  </si>
  <si>
    <t>tags=25%, list=18%, signal=30%</t>
  </si>
  <si>
    <t>CELLULAR_COMPONENT_DISASSEMBLY</t>
  </si>
  <si>
    <t>tags=29%, list=11%, signal=33%</t>
  </si>
  <si>
    <t>CONDENSED_NUCLEAR_CHROMOSOME</t>
  </si>
  <si>
    <t>tags=41%, list=23%, signal=53%</t>
  </si>
  <si>
    <t>NEGATIVE_REGULATION_OF_APOPTOSIS</t>
  </si>
  <si>
    <t>tags=17%, list=10%, signal=19%</t>
  </si>
  <si>
    <t>NEGATIVE_REGULATION_OF_PROGRAMMED_CELL_DEATH</t>
  </si>
  <si>
    <t>PHOSPHOLIPID_METABOLIC_PROCESS</t>
  </si>
  <si>
    <t>tags=27%, list=20%, signal=34%</t>
  </si>
  <si>
    <t>SULFUR_METABOLIC_PROCESS</t>
  </si>
  <si>
    <t>tags=16%, list=7%, signal=17%</t>
  </si>
  <si>
    <t>ANION_TRANSMEMBRANE_TRANSPORTER_ACTIVITY</t>
  </si>
  <si>
    <t>tags=20%, list=14%, signal=24%</t>
  </si>
  <si>
    <t>ANTI_APOPTOSIS</t>
  </si>
  <si>
    <t>STRUCTURAL_MOLECULE_ACTIVITY</t>
  </si>
  <si>
    <t>tags=42%, list=24%, signal=55%</t>
  </si>
  <si>
    <t>PEROXISOME_ORGANIZATION_AND_BIOGENESIS</t>
  </si>
  <si>
    <t>tags=19%, list=10%, signal=21%</t>
  </si>
  <si>
    <t>PROTEIN_CATABOLIC_PROCESS</t>
  </si>
  <si>
    <t>tags=24%, list=17%, signal=29%</t>
  </si>
  <si>
    <t>PROTEASE_INHIBITOR_ACTIVITY</t>
  </si>
  <si>
    <t>tags=56%, list=28%, signal=77%</t>
  </si>
  <si>
    <t>SUBSTRATE_SPECIFIC_TRANSMEMBRANE_TRANSPORTER_ACTIVITY</t>
  </si>
  <si>
    <t>tags=21%, list=16%, signal=25%</t>
  </si>
  <si>
    <t>DIGESTION</t>
  </si>
  <si>
    <t>tags=45%, list=22%, signal=58%</t>
  </si>
  <si>
    <t>MAINTENANCE_OF_LOCALIZATION</t>
  </si>
  <si>
    <t>tags=21%, list=9%, signal=23%</t>
  </si>
  <si>
    <t>REGULATION_OF_TRANSLATIONAL_INITIATION</t>
  </si>
  <si>
    <t>tags=14%, list=7%, signal=15%</t>
  </si>
  <si>
    <t>CARBOHYDRATE_BIOSYNTHETIC_PROCESS</t>
  </si>
  <si>
    <t>GLUTAMATE_SIGNALING_PATHWAY</t>
  </si>
  <si>
    <t>tags=100%, list=71%, signal=350%</t>
  </si>
  <si>
    <t>RESPONSE_TO_ORGANIC_SUBSTANCE</t>
  </si>
  <si>
    <t>tags=53%, list=29%, signal=75%</t>
  </si>
  <si>
    <t>CASPASE_ACTIVATION</t>
  </si>
  <si>
    <t>tags=32%, list=18%, signal=39%</t>
  </si>
  <si>
    <t>TRANSFERASE_ACTIVITY_TRANSFERRING_ALKYL_OR_ARYLOTHER_THAN_METHYLGROUPS</t>
  </si>
  <si>
    <t>tags=31%, list=19%, signal=38%</t>
  </si>
  <si>
    <t>POSITIVE_REGULATION_OF_HYDROLASE_ACTIVITY</t>
  </si>
  <si>
    <t>tags=31%, list=18%, signal=38%</t>
  </si>
  <si>
    <t>SUBSTRATE_SPECIFIC_TRANSPORTER_ACTIVITY</t>
  </si>
  <si>
    <t>COATED_VESICLE_MEMBRANE</t>
  </si>
  <si>
    <t>INDUCTION_OF_APOPTOSIS_BY_INTRACELLULAR_SIGNALS</t>
  </si>
  <si>
    <t>tags=39%, list=22%, signal=50%</t>
  </si>
  <si>
    <t>CELLULAR_RESPONSE_TO_STIMULUS</t>
  </si>
  <si>
    <t>tags=56%, list=27%, signal=76%</t>
  </si>
  <si>
    <t>TIGHT_JUNCTION</t>
  </si>
  <si>
    <t>TRNA_METABOLIC_PROCESS</t>
  </si>
  <si>
    <t>tags=32%, list=12%, signal=36%</t>
  </si>
  <si>
    <t>VITAMIN_METABOLIC_PROCESS</t>
  </si>
  <si>
    <t>tags=25%, list=12%, signal=28%</t>
  </si>
  <si>
    <t>ENDOMEMBRANE_SYSTEM</t>
  </si>
  <si>
    <t>tags=22%, list=16%, signal=26%</t>
  </si>
  <si>
    <t>REGULATION_OF_HYDROLASE_ACTIVITY</t>
  </si>
  <si>
    <t>tags=32%, list=19%, signal=39%</t>
  </si>
  <si>
    <t>PROTEOLYSIS</t>
  </si>
  <si>
    <t>tags=24%, list=17%, signal=28%</t>
  </si>
  <si>
    <t>NUCLEOTIDE_BIOSYNTHETIC_PROCESS</t>
  </si>
  <si>
    <t>tags=45%, list=27%, signal=61%</t>
  </si>
  <si>
    <t>NEGATIVE_REGULATION_OF_BIOSYNTHETIC_PROCESS</t>
  </si>
  <si>
    <t>tags=21%, list=15%, signal=25%</t>
  </si>
  <si>
    <t>NEGATIVE_REGULATION_OF_CELLULAR_BIOSYNTHETIC_PROCESS</t>
  </si>
  <si>
    <t>tags=22%, list=15%, signal=26%</t>
  </si>
  <si>
    <t>PROTEIN_RNA_COMPLEX_ASSEMBLY</t>
  </si>
  <si>
    <t>tags=44%, list=27%, signal=60%</t>
  </si>
  <si>
    <t>INDUCTION_OF_APOPTOSIS_BY_EXTRACELLULAR_SIGNALS</t>
  </si>
  <si>
    <t>tags=20%, list=11%, signal=22%</t>
  </si>
  <si>
    <t>RNA_BINDING</t>
  </si>
  <si>
    <t>tags=27%, list=18%, signal=32%</t>
  </si>
  <si>
    <t>METHYLTRANSFERASE_ACTIVITY</t>
  </si>
  <si>
    <t>G1_PHASE</t>
  </si>
  <si>
    <t>RIBONUCLEOPROTEIN_COMPLEX_BIOGENESIS_AND_ASSEMBLY</t>
  </si>
  <si>
    <t>TRANSMEMBRANE_TRANSPORTER_ACTIVITY</t>
  </si>
  <si>
    <t>tags=20%, list=16%, signal=23%</t>
  </si>
  <si>
    <t>TRANSFERASE_ACTIVITY_TRANSFERRING_HEXOSYL_GROUPS</t>
  </si>
  <si>
    <t>tags=15%, list=11%, signal=17%</t>
  </si>
  <si>
    <t>TRANSFERASE_ACTIVITY_TRANSFERRING_ONE_CARBON_GROUPS</t>
  </si>
  <si>
    <t>tags=33%, list=18%, signal=41%</t>
  </si>
  <si>
    <t>SULFURIC_ESTER_HYDROLASE_ACTIVITY</t>
  </si>
  <si>
    <t>tags=27%, list=16%, signal=32%</t>
  </si>
  <si>
    <t>PROTEIN_HETERODIMERIZATION_ACTIVITY</t>
  </si>
  <si>
    <t>APICAL_JUNCTION_COMPLEX</t>
  </si>
  <si>
    <t>APICOLATERAL_PLASMA_MEMBRANE</t>
  </si>
  <si>
    <t>LIPID_TRANSPORTER_ACTIVITY</t>
  </si>
  <si>
    <t>tags=44%, list=24%, signal=58%</t>
  </si>
  <si>
    <t>GLYCEROPHOSPHOLIPID_METABOLIC_PROCESS</t>
  </si>
  <si>
    <t>tags=27%, list=19%, signal=33%</t>
  </si>
  <si>
    <t>MEMBRANE_LIPID_METABOLIC_PROCESS</t>
  </si>
  <si>
    <t>tags=25%, list=20%, signal=31%</t>
  </si>
  <si>
    <t>INTERACTION_WITH_HOST</t>
  </si>
  <si>
    <t>tags=41%, list=24%, signal=54%</t>
  </si>
  <si>
    <t>LIPOPROTEIN_BIOSYNTHETIC_PROCESS</t>
  </si>
  <si>
    <t>tags=28%, list=19%, signal=35%</t>
  </si>
  <si>
    <t>ORGANIC_ACID_TRANSPORT</t>
  </si>
  <si>
    <t>tags=23%, list=15%, signal=27%</t>
  </si>
  <si>
    <t>CARBOXYLIC_ACID_TRANSPORT</t>
  </si>
  <si>
    <t>PHOSPHOINOSITIDE_BIOSYNTHETIC_PROCESS</t>
  </si>
  <si>
    <t>tags=21%, list=14%, signal=24%</t>
  </si>
  <si>
    <t>HISTONE_DEACETYLASE_COMPLEX</t>
  </si>
  <si>
    <t>tags=50%, list=29%, signal=71%</t>
  </si>
  <si>
    <t>PROTEOGLYCAN_METABOLIC_PROCESS</t>
  </si>
  <si>
    <t>tags=16%, list=8%, signal=17%</t>
  </si>
  <si>
    <t>MAPKKK_CASCADE_GO_0000165</t>
  </si>
  <si>
    <t>tags=22%, list=16%, signal=25%</t>
  </si>
  <si>
    <t>NUCLEOTIDE_METABOLIC_PROCESS</t>
  </si>
  <si>
    <t>tags=32%, list=22%, signal=41%</t>
  </si>
  <si>
    <t>OXIDOREDUCTASE_ACTIVITY_ACTING_ON_THE_ALDEHYDE_OR_OXO_GROUP_OF_DONORS</t>
  </si>
  <si>
    <t>tags=43%, list=31%, signal=62%</t>
  </si>
  <si>
    <t>BIOGENIC_AMINE_METABOLIC_PROCESS</t>
  </si>
  <si>
    <t>tags=27%, list=17%, signal=32%</t>
  </si>
  <si>
    <t>GLUTAMATE_RECEPTOR_ACTIVITY</t>
  </si>
  <si>
    <t>tags=100%, list=77%, signal=433%</t>
  </si>
  <si>
    <t>ANION_CATION_SYMPORTER_ACTIVITY</t>
  </si>
  <si>
    <t>tags=100%, list=76%, signal=412%</t>
  </si>
  <si>
    <t>VIRAL_GENOME_REPLICATION</t>
  </si>
  <si>
    <t>tags=10%, list=3%, signal=10%</t>
  </si>
  <si>
    <t>CYTOPLASMIC_VESICLE_PART</t>
  </si>
  <si>
    <t>CYTOPLASMIC_VESICLE_MEMBRANE</t>
  </si>
  <si>
    <t>VESICLE_MEMBRANE</t>
  </si>
  <si>
    <t>RESPONSE_TO_DRUG</t>
  </si>
  <si>
    <t>tags=19%, list=11%, signal=21%</t>
  </si>
  <si>
    <t>ORGANIC_ACID_TRANSMEMBRANE_TRANSPORTER_ACTIVITY</t>
  </si>
  <si>
    <t>CARBOXYLIC_ACID_TRANSMEMBRANE_TRANSPORTER_ACTIVITY</t>
  </si>
  <si>
    <t>REGULATION_OF_PROTEIN_STABILITY</t>
  </si>
  <si>
    <t>tags=42%, list=20%, signal=52%</t>
  </si>
  <si>
    <t>REGULATION_OF_PROTEIN_IMPORT_INTO_NUCLEUS</t>
  </si>
  <si>
    <t>tags=47%, list=24%, signal=61%</t>
  </si>
  <si>
    <t>VACUOLE</t>
  </si>
  <si>
    <t>tags=20%, list=15%, signal=23%</t>
  </si>
  <si>
    <t>SULFOTRANSFERASE_ACTIVITY</t>
  </si>
  <si>
    <t>tags=15%, list=9%, signal=16%</t>
  </si>
  <si>
    <t>SECONDARY_ACTIVE_TRANSMEMBRANE_TRANSPORTER_ACTIVITY</t>
  </si>
  <si>
    <t>tags=23%, list=16%, signal=27%</t>
  </si>
  <si>
    <t>CALCIUM_INDEPENDENT_CELL_CELL_ADHESION</t>
  </si>
  <si>
    <t>NEURITE_DEVELOPMENT</t>
  </si>
  <si>
    <t>REGULATION_OF_TRANSLATION</t>
  </si>
  <si>
    <t>tags=19%, list=15%, signal=22%</t>
  </si>
  <si>
    <t>SYMPORTER_ACTIVITY</t>
  </si>
  <si>
    <t>LIPOPROTEIN_METABOLIC_PROCESS</t>
  </si>
  <si>
    <t>CARBOHYDRATE_TRANSPORT</t>
  </si>
  <si>
    <t>tags=25%, list=15%, signal=29%</t>
  </si>
  <si>
    <t>SECRETORY_PATHWAY</t>
  </si>
  <si>
    <t>tags=18%, list=13%, signal=20%</t>
  </si>
  <si>
    <t>NEURON_DEVELOPMENT</t>
  </si>
  <si>
    <t>tags=17%, list=11%, signal=19%</t>
  </si>
  <si>
    <t>ACTIN_FILAMENT_ORGANIZATION</t>
  </si>
  <si>
    <t>GLYCOLIPID_METABOLIC_PROCESS</t>
  </si>
  <si>
    <t>tags=31%, list=22%, signal=40%</t>
  </si>
  <si>
    <t>GALACTOSYLTRANSFERASE_ACTIVITY</t>
  </si>
  <si>
    <t>tags=27%, list=20%, signal=33%</t>
  </si>
  <si>
    <t>NEGATIVE_REGULATION_OF_TRANSLATION</t>
  </si>
  <si>
    <t>tags=10%, list=4%, signal=10%</t>
  </si>
  <si>
    <t>LYSOSOME</t>
  </si>
  <si>
    <t>LYTIC_VACUOLE</t>
  </si>
  <si>
    <t>RESPONSE_TO_EXTRACELLULAR_STIMULUS</t>
  </si>
  <si>
    <t>tags=43%, list=27%, signal=58%</t>
  </si>
  <si>
    <t>HORMONE_ACTIVITY</t>
  </si>
  <si>
    <t>tags=7%, list=2%, signal=8%</t>
  </si>
  <si>
    <t>GUANYL_NUCLEOTIDE_BINDING</t>
  </si>
  <si>
    <t>tags=48%, list=30%, signal=68%</t>
  </si>
  <si>
    <t>EXTRACELLULAR_SPACE</t>
  </si>
  <si>
    <t>GTPASE_ACTIVITY</t>
  </si>
  <si>
    <t>tags=12%, list=10%, signal=13%</t>
  </si>
  <si>
    <t>OXIDOREDUCTASE_ACTIVITY_ACTING_ON_THE_ALDEHYDE_OR_OXO_GROUP_OF_DONORSNAD_OR_NADP_AS_ACCEPTOR</t>
  </si>
  <si>
    <t>tags=44%, list=29%, signal=62%</t>
  </si>
  <si>
    <t>L_AMINO_ACID_TRANSMEMBRANE_TRANSPORTER_ACTIVITY</t>
  </si>
  <si>
    <t>tags=31%, list=20%, signal=39%</t>
  </si>
  <si>
    <t>SIGNAL_SEQUENCE_BINDING</t>
  </si>
  <si>
    <t>PROTEIN_AMINO_ACID_LIPIDATION</t>
  </si>
  <si>
    <t>tags=17%, list=14%, signal=20%</t>
  </si>
  <si>
    <t>RRNA_PROCESSING</t>
  </si>
  <si>
    <t>tags=20%, list=10%, signal=22%</t>
  </si>
  <si>
    <t>OXIDOREDUCTASE_ACTIVITY_GO_0016705</t>
  </si>
  <si>
    <t>tags=19%, list=17%, signal=23%</t>
  </si>
  <si>
    <t>RESPONSE_TO_NUTRIENT_LEVELS</t>
  </si>
  <si>
    <t>tags=42%, list=27%, signal=57%</t>
  </si>
  <si>
    <t>CARBOXYLESTERASE_ACTIVITY</t>
  </si>
  <si>
    <t>tags=46%, list=29%, signal=64%</t>
  </si>
  <si>
    <t>TRANSLATION_INITIATION_FACTOR_ACTIVITY</t>
  </si>
  <si>
    <t>tags=54%, list=31%, signal=78%</t>
  </si>
  <si>
    <t>INNATE_IMMUNE_RESPONSE</t>
  </si>
  <si>
    <t>tags=33%, list=22%, signal=42%</t>
  </si>
  <si>
    <t>NEUROGENESIS</t>
  </si>
  <si>
    <t>tags=13%, list=11%, signal=14%</t>
  </si>
  <si>
    <t>GTP_BINDING</t>
  </si>
  <si>
    <t>tags=46%, list=30%, signal=66%</t>
  </si>
  <si>
    <t>EXOCYTOSIS</t>
  </si>
  <si>
    <t>tags=29%, list=21%, signal=37%</t>
  </si>
  <si>
    <t>ORGANELLE_LOCALIZATION</t>
  </si>
  <si>
    <t>tags=96%, list=74%, signal=369%</t>
  </si>
  <si>
    <t>RRNA_METABOLIC_PROCESS</t>
  </si>
  <si>
    <t>MITOSIS</t>
  </si>
  <si>
    <t>tags=22%, list=19%, signal=27%</t>
  </si>
  <si>
    <t>M_PHASE_OF_MITOTIC_CELL_CYCLE</t>
  </si>
  <si>
    <t>tags=17%, list=16%, signal=20%</t>
  </si>
  <si>
    <t>OXYGEN_BINDING</t>
  </si>
  <si>
    <t>ESTABLISHMENT_OF_ORGANELLE_LOCALIZATION</t>
  </si>
  <si>
    <t>tags=29%, list=22%, signal=38%</t>
  </si>
  <si>
    <t>tags=45%, list=33%, signal=66%</t>
  </si>
  <si>
    <t>tags=27%, list=15%, signal=32%</t>
  </si>
  <si>
    <t>tags=29%, list=21%, signal=36%</t>
  </si>
  <si>
    <t>tags=35%, list=25%, signal=46%</t>
  </si>
  <si>
    <t>tags=42%, list=32%, signal=62%</t>
  </si>
  <si>
    <t>tags=43%, list=33%, signal=64%</t>
  </si>
  <si>
    <t>tags=38%, list=25%, signal=51%</t>
  </si>
  <si>
    <t>tags=53%, list=39%, signal=86%</t>
  </si>
  <si>
    <t>tags=40%, list=24%, signal=53%</t>
  </si>
  <si>
    <t>tags=33%, list=26%, signal=45%</t>
  </si>
  <si>
    <t>tags=38%, list=27%, signal=52%</t>
  </si>
  <si>
    <t>tags=38%, list=22%, signal=48%</t>
  </si>
  <si>
    <t>tags=41%, list=27%, signal=56%</t>
  </si>
  <si>
    <t>tags=38%, list=31%, signal=54%</t>
  </si>
  <si>
    <t>tags=44%, list=28%, signal=61%</t>
  </si>
  <si>
    <t>tags=41%, list=32%, signal=60%</t>
  </si>
  <si>
    <t>tags=37%, list=31%, signal=54%</t>
  </si>
  <si>
    <t>tags=40%, list=33%, signal=60%</t>
  </si>
  <si>
    <t>tags=37%, list=31%, signal=53%</t>
  </si>
  <si>
    <t>tags=35%, list=27%, signal=48%</t>
  </si>
  <si>
    <t>tags=60%, list=41%, signal=101%</t>
  </si>
  <si>
    <t>tags=29%, list=19%, signal=35%</t>
  </si>
  <si>
    <t>tags=53%, list=27%, signal=72%</t>
  </si>
  <si>
    <t>tags=40%, list=27%, signal=55%</t>
  </si>
  <si>
    <t>tags=53%, list=35%, signal=81%</t>
  </si>
  <si>
    <t>tags=30%, list=28%, signal=41%</t>
  </si>
  <si>
    <t>tags=49%, list=31%, signal=71%</t>
  </si>
  <si>
    <t>tags=25%, list=19%, signal=31%</t>
  </si>
  <si>
    <t>tags=37%, list=32%, signal=53%</t>
  </si>
  <si>
    <t>tags=29%, list=19%, signal=36%</t>
  </si>
  <si>
    <t>tags=56%, list=37%, signal=89%</t>
  </si>
  <si>
    <t>tags=33%, list=27%, signal=45%</t>
  </si>
  <si>
    <t>tags=23%, list=19%, signal=28%</t>
  </si>
  <si>
    <t>tags=39%, list=28%, signal=54%</t>
  </si>
  <si>
    <t>tags=16%, list=6%, signal=17%</t>
  </si>
  <si>
    <t>IMMUNE_SYSTEM_PROCESS</t>
  </si>
  <si>
    <t>tags=56%, list=37%, signal=87%</t>
  </si>
  <si>
    <t>SECOND_MESSENGER_MEDIATED_SIGNALING</t>
  </si>
  <si>
    <t>tags=36%, list=28%, signal=50%</t>
  </si>
  <si>
    <t>KINASE_REGULATOR_ACTIVITY</t>
  </si>
  <si>
    <t>tags=48%, list=38%, signal=76%</t>
  </si>
  <si>
    <t>NEGATIVE_REGULATION_OF_TRANSPORT</t>
  </si>
  <si>
    <t>tags=47%, list=22%, signal=61%</t>
  </si>
  <si>
    <t>JAK_STAT_CASCADE</t>
  </si>
  <si>
    <t>tags=52%, list=38%, signal=83%</t>
  </si>
  <si>
    <t>MICROTUBULE_BASED_PROCESS</t>
  </si>
  <si>
    <t>tags=30%, list=26%, signal=41%</t>
  </si>
  <si>
    <t>RESPONSE_TO_LIGHT_STIMULUS</t>
  </si>
  <si>
    <t>SMALL_CONJUGATING_PROTEIN_LIGASE_ACTIVITY</t>
  </si>
  <si>
    <t>tags=25%, list=23%, signal=33%</t>
  </si>
  <si>
    <t>PEPTIDE_RECEPTOR_ACTIVITY</t>
  </si>
  <si>
    <t>tags=63%, list=43%, signal=109%</t>
  </si>
  <si>
    <t>REGULATION_OF_TRANSFERASE_ACTIVITY</t>
  </si>
  <si>
    <t>LEUKOCYTE_DIFFERENTIATION</t>
  </si>
  <si>
    <t>tags=57%, list=38%, signal=92%</t>
  </si>
  <si>
    <t>CELL_RECOGNITION</t>
  </si>
  <si>
    <t>tags=82%, list=43%, signal=143%</t>
  </si>
  <si>
    <t>ESTABLISHMENT_AND_OR_MAINTENANCE_OF_CELL_POLARITY</t>
  </si>
  <si>
    <t>tags=47%, list=33%, signal=71%</t>
  </si>
  <si>
    <t>TRANSCRIPTION_FROM_RNA_POLYMERASE_III_PROMOTER</t>
  </si>
  <si>
    <t>tags=37%, list=26%, signal=50%</t>
  </si>
  <si>
    <t>RECEPTOR_SIGNALING_PROTEIN_SERINE_THREONINE_KINASE_ACTIVITY</t>
  </si>
  <si>
    <t>NEGATIVE_REGULATION_OF_CELL_ADHESION</t>
  </si>
  <si>
    <t>SINGLE_STRANDED_DNA_BINDING</t>
  </si>
  <si>
    <t>tags=29%, list=25%, signal=39%</t>
  </si>
  <si>
    <t>PHOSPHORIC_DIESTER_HYDROLASE_ACTIVITY</t>
  </si>
  <si>
    <t>tags=46%, list=31%, signal=67%</t>
  </si>
  <si>
    <t>ERK_RAS-OFF_MEKI_DOWN_NM</t>
  </si>
  <si>
    <t>ACTIN_CYTOSKELETON</t>
  </si>
  <si>
    <t>tags=30%, list=24%, signal=38%</t>
  </si>
  <si>
    <t>MULTI_ORGANISM_PROCESS</t>
  </si>
  <si>
    <t>tags=34%, list=25%, signal=45%</t>
  </si>
  <si>
    <t>CELL_ACTIVATION</t>
  </si>
  <si>
    <t>tags=53%, list=30%, signal=76%</t>
  </si>
  <si>
    <t>REGULATION_OF_CELL_PROLIFERATION</t>
  </si>
  <si>
    <t>tags=45%, list=37%, signal=70%</t>
  </si>
  <si>
    <t>LEUKOCYTE_ACTIVATION</t>
  </si>
  <si>
    <t>tags=60%, list=37%, signal=95%</t>
  </si>
  <si>
    <t>CELL_PROJECTION_BIOGENESIS</t>
  </si>
  <si>
    <t>tags=50%, list=26%, signal=68%</t>
  </si>
  <si>
    <t>CELL_MIGRATION</t>
  </si>
  <si>
    <t>tags=48%, list=38%, signal=78%</t>
  </si>
  <si>
    <t>PROTEIN_UBIQUITINATION</t>
  </si>
  <si>
    <t>tags=35%, list=25%, signal=47%</t>
  </si>
  <si>
    <t>CYSTEINE_TYPE_PEPTIDASE_ACTIVITY</t>
  </si>
  <si>
    <t>tags=46%, list=36%, signal=71%</t>
  </si>
  <si>
    <t>SMALL_PROTEIN_CONJUGATING_ENZYME_ACTIVITY</t>
  </si>
  <si>
    <t>tags=25%, list=23%, signal=32%</t>
  </si>
  <si>
    <t>CATION_HOMEOSTASIS</t>
  </si>
  <si>
    <t>BEHAVIOR</t>
  </si>
  <si>
    <t>tags=51%, list=36%, signal=79%</t>
  </si>
  <si>
    <t>POTASSIUM_ION_TRANSPORT</t>
  </si>
  <si>
    <t>tags=51%, list=35%, signal=78%</t>
  </si>
  <si>
    <t>SKELETAL_MUSCLE_DEVELOPMENT</t>
  </si>
  <si>
    <t>DI___TRI_VALENT_INORGANIC_CATION_TRANSMEMBRANE_TRANSPORTER_ACTIVITY</t>
  </si>
  <si>
    <t>tags=48%, list=33%, signal=71%</t>
  </si>
  <si>
    <t>POSITIVE_REGULATION_OF_MULTICELLULAR_ORGANISMAL_PROCESS</t>
  </si>
  <si>
    <t>PEPTIDYL_AMINO_ACID_MODIFICATION</t>
  </si>
  <si>
    <t>SKELETAL_DEVELOPMENT</t>
  </si>
  <si>
    <t>tags=55%, list=43%, signal=98%</t>
  </si>
  <si>
    <t>G_PROTEIN_COUPLED_RECEPTOR_PROTEIN_SIGNALING_PATHWAY</t>
  </si>
  <si>
    <t>tags=33%, list=27%, signal=44%</t>
  </si>
  <si>
    <t>TUBULIN_BINDING</t>
  </si>
  <si>
    <t>tags=28%, list=21%, signal=35%</t>
  </si>
  <si>
    <t>VOLTAGE_GATED_POTASSIUM_CHANNEL_ACTIVITY</t>
  </si>
  <si>
    <t>tags=48%, list=31%, signal=70%</t>
  </si>
  <si>
    <t>TRANSCRIPTION_COREPRESSOR_ACTIVITY</t>
  </si>
  <si>
    <t>CELL_CELL_ADHESION</t>
  </si>
  <si>
    <t>tags=61%, list=46%, signal=113%</t>
  </si>
  <si>
    <t>INTERPHASE_OF_MITOTIC_CELL_CYCLE</t>
  </si>
  <si>
    <t>ENDONUCLEASE_ACTIVITY</t>
  </si>
  <si>
    <t>POTASSIUM_CHANNEL_ACTIVITY</t>
  </si>
  <si>
    <t>B_CELL_ACTIVATION</t>
  </si>
  <si>
    <t>tags=58%, list=37%, signal=91%</t>
  </si>
  <si>
    <t>CYTOKINE_ACTIVITY</t>
  </si>
  <si>
    <t>LIPOPROTEIN_BINDING</t>
  </si>
  <si>
    <t>tags=53%, list=29%, signal=74%</t>
  </si>
  <si>
    <t>CYTOKINE_PRODUCTION</t>
  </si>
  <si>
    <t>tags=56%, list=38%, signal=90%</t>
  </si>
  <si>
    <t>TRANSCRIPTION_FACTOR_COMPLEX</t>
  </si>
  <si>
    <t>DAMAGED_DNA_BINDING</t>
  </si>
  <si>
    <t>EXTRACELLULAR_STRUCTURE_ORGANIZATION_AND_BIOGENESIS</t>
  </si>
  <si>
    <t>tags=60%, list=42%, signal=103%</t>
  </si>
  <si>
    <t>LIGASE_ACTIVITY_FORMING_CARBON_NITROGEN_BONDS</t>
  </si>
  <si>
    <t>tags=25%, list=25%, signal=33%</t>
  </si>
  <si>
    <t>CELLULAR_DEFENSE_RESPONSE</t>
  </si>
  <si>
    <t>tags=54%, list=35%, signal=83%</t>
  </si>
  <si>
    <t>POSITIVE_REGULATION_OF_CYTOKINE_BIOSYNTHETIC_PROCESS</t>
  </si>
  <si>
    <t>tags=61%, list=27%, signal=83%</t>
  </si>
  <si>
    <t>ECTODERM_DEVELOPMENT</t>
  </si>
  <si>
    <t>tags=48%, list=32%, signal=70%</t>
  </si>
  <si>
    <t>DNA_REPLICATION</t>
  </si>
  <si>
    <t>tags=25%, list=21%, signal=32%</t>
  </si>
  <si>
    <t>PROTEIN_COMPLEX_ASSEMBLY</t>
  </si>
  <si>
    <t>tags=20%, list=15%, signal=24%</t>
  </si>
  <si>
    <t>ANATOMICAL_STRUCTURE_MORPHOGENESIS</t>
  </si>
  <si>
    <t>tags=32%, list=27%, signal=43%</t>
  </si>
  <si>
    <t>ACID_AMINO_ACID_LIGASE_ACTIVITY</t>
  </si>
  <si>
    <t>tags=26%, list=25%, signal=35%</t>
  </si>
  <si>
    <t>CELLULAR_POLYSACCHARIDE_METABOLIC_PROCESS</t>
  </si>
  <si>
    <t>tags=47%, list=36%, signal=73%</t>
  </si>
  <si>
    <t>MICROTUBULE_CYTOSKELETON_ORGANIZATION_AND_BIOGENESIS</t>
  </si>
  <si>
    <t>tags=29%, list=26%, signal=39%</t>
  </si>
  <si>
    <t>RESPONSE_TO_EXTERNAL_STIMULUS</t>
  </si>
  <si>
    <t>tags=41%, list=32%, signal=59%</t>
  </si>
  <si>
    <t>G1_S_TRANSITION_OF_MITOTIC_CELL_CYCLE</t>
  </si>
  <si>
    <t>HYDROLASE_ACTIVITY_ACTING_ON_ESTER_BONDS</t>
  </si>
  <si>
    <t>CELLULAR_CATION_HOMEOSTASIS</t>
  </si>
  <si>
    <t>tags=45%, list=31%, signal=66%</t>
  </si>
  <si>
    <t>CYTOSKELETAL_PART</t>
  </si>
  <si>
    <t>tags=34%, list=30%, signal=48%</t>
  </si>
  <si>
    <t>S_ADENOSYLMETHIONINE_DEPENDENT_METHYLTRANSFERASE_ACTIVITY</t>
  </si>
  <si>
    <t>MEMBRANE_FUSION</t>
  </si>
  <si>
    <t>tags=50%, list=31%, signal=72%</t>
  </si>
  <si>
    <t>LYMPHOCYTE_ACTIVATION</t>
  </si>
  <si>
    <t>tags=61%, list=37%, signal=97%</t>
  </si>
  <si>
    <t>POSITIVE_REGULATION_OF_CELL_DIFFERENTIATION</t>
  </si>
  <si>
    <t>TRANSMEMBRANE_RECEPTOR_PROTEIN_TYROSINE_KINASE_SIGNALING_PATHWAY</t>
  </si>
  <si>
    <t>tags=32%, list=28%, signal=44%</t>
  </si>
  <si>
    <t>ACTIN_POLYMERIZATION_AND_OR_DEPOLYMERIZATION</t>
  </si>
  <si>
    <t>tags=33%, list=15%, signal=39%</t>
  </si>
  <si>
    <t>POSITIVE_REGULATION_OF_IMMUNE_SYSTEM_PROCESS</t>
  </si>
  <si>
    <t>tags=49%, list=30%, signal=69%</t>
  </si>
  <si>
    <t>ANTIGEN_BINDING</t>
  </si>
  <si>
    <t>tags=45%, list=28%, signal=63%</t>
  </si>
  <si>
    <t>REGULATION_OF_PROTEIN_KINASE_ACTIVITY</t>
  </si>
  <si>
    <t>tags=22%, list=19%, signal=26%</t>
  </si>
  <si>
    <t>ATPASE_ACTIVITY_COUPLED_TO_TRANSMEMBRANE_MOVEMENT_OF_IONS_PHOSPHORYLATIVE_MECHANISM</t>
  </si>
  <si>
    <t>tags=35%, list=23%, signal=46%</t>
  </si>
  <si>
    <t>PEPTIDE_BINDING</t>
  </si>
  <si>
    <t>tags=37%, list=33%, signal=54%</t>
  </si>
  <si>
    <t>DEFENSE_RESPONSE</t>
  </si>
  <si>
    <t>tags=52%, list=37%, signal=82%</t>
  </si>
  <si>
    <t>RECEPTOR_BINDING</t>
  </si>
  <si>
    <t>ENZYME_REGULATOR_ACTIVITY</t>
  </si>
  <si>
    <t>tags=39%, list=34%, signal=58%</t>
  </si>
  <si>
    <t>MACROMOLECULE_LOCALIZATION</t>
  </si>
  <si>
    <t>tags=35%, list=31%, signal=49%</t>
  </si>
  <si>
    <t>POSITIVE_REGULATION_OF_TRANSCRIPTION_FACTOR_ACTIVITY</t>
  </si>
  <si>
    <t>POLYSACCHARIDE_METABOLIC_PROCESS</t>
  </si>
  <si>
    <t>REGULATION_OF_LYMPHOCYTE_ACTIVATION</t>
  </si>
  <si>
    <t>tags=64%, list=37%, signal=100%</t>
  </si>
  <si>
    <t>G_PROTEIN_SIGNALING_COUPLED_TO_CYCLIC_NUCLEOTIDE_SECOND_MESSENGER</t>
  </si>
  <si>
    <t>tags=53%, list=43%, signal=92%</t>
  </si>
  <si>
    <t>EPIDERMIS_DEVELOPMENT</t>
  </si>
  <si>
    <t>tags=48%, list=32%, signal=71%</t>
  </si>
  <si>
    <t>REGULATION_OF_PHOSPHORYLATION</t>
  </si>
  <si>
    <t>tags=51%, list=38%, signal=82%</t>
  </si>
  <si>
    <t>CELL_PROLIFERATION_GO_0008283</t>
  </si>
  <si>
    <t>tags=42%, list=37%, signal=65%</t>
  </si>
  <si>
    <t>SMALL_GTPASE_MEDIATED_SIGNAL_TRANSDUCTION</t>
  </si>
  <si>
    <t>REGULATION_OF_TRANSPORT</t>
  </si>
  <si>
    <t>MRNA_METABOLIC_PROCESS</t>
  </si>
  <si>
    <t>tags=26%, list=19%, signal=32%</t>
  </si>
  <si>
    <t>G_PROTEIN_SIGNALING_COUPLED_TO_CAMP_NUCLEOTIDE_SECOND_MESSENGER</t>
  </si>
  <si>
    <t>tags=52%, list=43%, signal=90%</t>
  </si>
  <si>
    <t>PROTEIN_MODIFICATION_BY_SMALL_PROTEIN_CONJUGATION</t>
  </si>
  <si>
    <t>CELL_SURFACE</t>
  </si>
  <si>
    <t>tags=41%, list=30%, signal=59%</t>
  </si>
  <si>
    <t>NEGATIVE_REGULATION_OF_TRANSFERASE_ACTIVITY</t>
  </si>
  <si>
    <t>tags=23%, list=10%, signal=25%</t>
  </si>
  <si>
    <t>POSITIVE_REGULATION_OF_PHOSPHORYLATION</t>
  </si>
  <si>
    <t>TUBE_MORPHOGENESIS</t>
  </si>
  <si>
    <t>tags=40%, list=23%, signal=52%</t>
  </si>
  <si>
    <t>T_CELL_PROLIFERATION</t>
  </si>
  <si>
    <t>NUCLEASE_ACTIVITY</t>
  </si>
  <si>
    <t>tags=15%, list=9%, signal=17%</t>
  </si>
  <si>
    <t>DEPHOSPHORYLATION</t>
  </si>
  <si>
    <t>tags=37%, list=28%, signal=51%</t>
  </si>
  <si>
    <t>NEGATIVE_REGULATION_OF_MAP_KINASE_ACTIVITY</t>
  </si>
  <si>
    <t>tags=35%, list=15%, signal=41%</t>
  </si>
  <si>
    <t>MICROTUBULE_ORGANIZING_CENTER</t>
  </si>
  <si>
    <t>tags=56%, list=42%, signal=97%</t>
  </si>
  <si>
    <t>T_CELL_ACTIVATION</t>
  </si>
  <si>
    <t>tags=58%, list=29%, signal=81%</t>
  </si>
  <si>
    <t>G_PROTEIN_SIGNALING_ADENYLATE_CYCLASE_ACTIVATING_PATHWAY</t>
  </si>
  <si>
    <t>tags=35%, list=31%, signal=50%</t>
  </si>
  <si>
    <t>SPINDLE</t>
  </si>
  <si>
    <t>tags=39%, list=32%, signal=58%</t>
  </si>
  <si>
    <t>POSITIVE_REGULATION_OF_RESPONSE_TO_STIMULUS</t>
  </si>
  <si>
    <t>tags=42%, list=26%, signal=56%</t>
  </si>
  <si>
    <t>POSITIVE_REGULATION_OF_LYMPHOCYTE_ACTIVATION</t>
  </si>
  <si>
    <t>tags=64%, list=36%, signal=99%</t>
  </si>
  <si>
    <t>SECRETORY_GRANULE</t>
  </si>
  <si>
    <t>IMMUNE_RESPONSE</t>
  </si>
  <si>
    <t>tags=48%, list=31%, signal=68%</t>
  </si>
  <si>
    <t>VOLTAGE_GATED_CALCIUM_CHANNEL_ACTIVITY</t>
  </si>
  <si>
    <t>tags=36%, list=30%, signal=51%</t>
  </si>
  <si>
    <t>UBIQUITIN_LIGASE_COMPLEX</t>
  </si>
  <si>
    <t>NEGATIVE_REGULATION_OF_CELL_CYCLE</t>
  </si>
  <si>
    <t>STRIATED_MUSCLE_DEVELOPMENT</t>
  </si>
  <si>
    <t>CELL_CYCLE_ARREST_GO_0007050</t>
  </si>
  <si>
    <t>tags=44%, list=37%, signal=69%</t>
  </si>
  <si>
    <t>CATION_BINDING</t>
  </si>
  <si>
    <t>POSITIVE_REGULATION_OF_IMMUNE_RESPONSE</t>
  </si>
  <si>
    <t>tags=42%, list=24%, signal=56%</t>
  </si>
  <si>
    <t>ADENYLATE_CYCLASE_ACTIVATION</t>
  </si>
  <si>
    <t>DOUBLE_STRANDED_RNA_BINDING</t>
  </si>
  <si>
    <t>CALCIUM_CHANNEL_ACTIVITY</t>
  </si>
  <si>
    <t>tags=55%, list=45%, signal=101%</t>
  </si>
  <si>
    <t>EMBRYONIC_MORPHOGENESIS</t>
  </si>
  <si>
    <t>MICROTUBULE_CYTOSKELETON</t>
  </si>
  <si>
    <t>tags=35%, list=32%, signal=51%</t>
  </si>
  <si>
    <t>CALCIUM_ION_BINDING</t>
  </si>
  <si>
    <t>RNA_SPLICING_FACTOR_ACTIVITYTRANSESTERIFICATION_MECHANISM</t>
  </si>
  <si>
    <t>ONE_CARBON_COMPOUND_METABOLIC_PROCESS</t>
  </si>
  <si>
    <t>RNA_POLYMERASE_COMPLEX</t>
  </si>
  <si>
    <t>tags=53%, list=26%, signal=72%</t>
  </si>
  <si>
    <t>NUCLEAR_DNA_DIRECTED_RNA_POLYMERASE_COMPLEX</t>
  </si>
  <si>
    <t>DNA_DIRECTED_RNA_POLYMERASE_COMPLEX</t>
  </si>
  <si>
    <t>DEOXYRIBONUCLEASE_ACTIVITY</t>
  </si>
  <si>
    <t>tags=14%, list=4%, signal=14%</t>
  </si>
  <si>
    <t>REGULATION_OF_MAP_KINASE_ACTIVITY</t>
  </si>
  <si>
    <t>tags=18%, list=10%, signal=20%</t>
  </si>
  <si>
    <t>MICROTUBULE_ORGANIZING_CENTER_PART</t>
  </si>
  <si>
    <t>tags=58%, list=41%, signal=99%</t>
  </si>
  <si>
    <t>ION_HOMEOSTASIS</t>
  </si>
  <si>
    <t>tags=42%, list=31%, signal=60%</t>
  </si>
  <si>
    <t>ORGAN_MORPHOGENESIS</t>
  </si>
  <si>
    <t>PROTEIN_POLYMERIZATION</t>
  </si>
  <si>
    <t>tags=29%, list=15%, signal=35%</t>
  </si>
  <si>
    <t>SODIUM_ION_TRANSPORT</t>
  </si>
  <si>
    <t>tags=43%, list=24%, signal=56%</t>
  </si>
  <si>
    <t>MOLECULAR_ADAPTOR_ACTIVITY</t>
  </si>
  <si>
    <t>tags=42%, list=33%, signal=62%</t>
  </si>
  <si>
    <t>PHOSPHOINOSITIDE_BINDING</t>
  </si>
  <si>
    <t>tags=75%, list=48%, signal=145%</t>
  </si>
  <si>
    <t>AXON_GUIDANCE</t>
  </si>
  <si>
    <t>tags=71%, list=46%, signal=133%</t>
  </si>
  <si>
    <t>POSITIVE_REGULATION_OF_CELL_CYCLE</t>
  </si>
  <si>
    <t>MRNA_BINDING</t>
  </si>
  <si>
    <t>tags=48%, list=33%, signal=72%</t>
  </si>
  <si>
    <t>CYTOKINE_BIOSYNTHETIC_PROCESS</t>
  </si>
  <si>
    <t>tags=61%, list=38%, signal=98%</t>
  </si>
  <si>
    <t>CONTRACTILE_FIBER_PART</t>
  </si>
  <si>
    <t>tags=45%, list=26%, signal=61%</t>
  </si>
  <si>
    <t>SPHINGOLIPID_METABOLIC_PROCESS</t>
  </si>
  <si>
    <t>tags=30%, list=27%, signal=41%</t>
  </si>
  <si>
    <t>CYCLIC_NUCLEOTIDE_MEDIATED_SIGNALING</t>
  </si>
  <si>
    <t>tags=30%, list=23%, signal=39%</t>
  </si>
  <si>
    <t>NUCLEAR_CHROMOSOME_PART</t>
  </si>
  <si>
    <t>CONTRACTILE_FIBER</t>
  </si>
  <si>
    <t>tags=48%, list=29%, signal=67%</t>
  </si>
  <si>
    <t>POSITIVE_REGULATION_OF_TRANSLATION</t>
  </si>
  <si>
    <t>tags=50%, list=27%, signal=68%</t>
  </si>
  <si>
    <t>DNA_REPAIR</t>
  </si>
  <si>
    <t>tags=20%, list=16%, signal=24%</t>
  </si>
  <si>
    <t>RAS_PROTEIN_SIGNAL_TRANSDUCTION</t>
  </si>
  <si>
    <t>COATED_VESICLE</t>
  </si>
  <si>
    <t>SOLUBLE_FRACTION</t>
  </si>
  <si>
    <t>tags=40%, list=32%, signal=58%</t>
  </si>
  <si>
    <t>PROTEIN_LOCALIZATION</t>
  </si>
  <si>
    <t>HEART_DEVELOPMENT</t>
  </si>
  <si>
    <t>REGULATION_OF_IMMUNE_SYSTEM_PROCESS</t>
  </si>
  <si>
    <t>tags=55%, list=37%, signal=86%</t>
  </si>
  <si>
    <t>LIGAND_GATED_CHANNEL_ACTIVITY</t>
  </si>
  <si>
    <t>tags=61%, list=45%, signal=112%</t>
  </si>
  <si>
    <t>DNA_DAMAGE_CHECKPOINT</t>
  </si>
  <si>
    <t>REGULATION_OF_T_CELL_ACTIVATION</t>
  </si>
  <si>
    <t>tags=54%, list=29%, signal=76%</t>
  </si>
  <si>
    <t>THIOLESTER_HYDROLASE_ACTIVITY</t>
  </si>
  <si>
    <t>NEGATIVE_REGULATION_OF_GROWTH</t>
  </si>
  <si>
    <t>tags=42%, list=31%, signal=61%</t>
  </si>
  <si>
    <t>GOLGI_APPARATUS_PART</t>
  </si>
  <si>
    <t>tags=21%, list=17%, signal=25%</t>
  </si>
  <si>
    <t>REGULATION_OF_IMMUNE_RESPONSE</t>
  </si>
  <si>
    <t>tags=43%, list=26%, signal=58%</t>
  </si>
  <si>
    <t>RHYTHMIC_PROCESS</t>
  </si>
  <si>
    <t>tags=43%, list=34%, signal=65%</t>
  </si>
  <si>
    <t>CELL_CYCLE_PROCESS</t>
  </si>
  <si>
    <t>REGULATION_OF_CELL_CYCLE</t>
  </si>
  <si>
    <t>tags=28%, list=27%, signal=38%</t>
  </si>
  <si>
    <t>CYTOKINE_METABOLIC_PROCESS</t>
  </si>
  <si>
    <t>tags=59%, list=38%, signal=95%</t>
  </si>
  <si>
    <t>RESPONSE_TO_HORMONE_STIMULUS</t>
  </si>
  <si>
    <t>tags=34%, list=30%, signal=49%</t>
  </si>
  <si>
    <t>LYMPHOCYTE_DIFFERENTIATION</t>
  </si>
  <si>
    <t>tags=54%, list=37%, signal=85%</t>
  </si>
  <si>
    <t>BASOLATERAL_PLASMA_MEMBRANE</t>
  </si>
  <si>
    <t>tags=54%, list=41%, signal=92%</t>
  </si>
  <si>
    <t>NEGATIVE_REGULATION_OF_DNA_METABOLIC_PROCESS</t>
  </si>
  <si>
    <t>tags=22%, list=21%, signal=28%</t>
  </si>
  <si>
    <t>G_PROTEIN_COUPLED_RECEPTOR_BINDING</t>
  </si>
  <si>
    <t>tags=52%, list=36%, signal=81%</t>
  </si>
  <si>
    <t>REGULATION_OF_MOLECULAR_FUNCTION</t>
  </si>
  <si>
    <t>tags=22%, list=20%, signal=27%</t>
  </si>
  <si>
    <t>ORGANELLE_LUMEN</t>
  </si>
  <si>
    <t>tags=28%, list=25%, signal=37%</t>
  </si>
  <si>
    <t>MEMBRANE_ENCLOSED_LUMEN</t>
  </si>
  <si>
    <t>CELL_CELL_SIGNALING</t>
  </si>
  <si>
    <t>tags=43%, list=39%, signal=69%</t>
  </si>
  <si>
    <t>REGULATION_OF_CYTOKINE_BIOSYNTHETIC_PROCESS</t>
  </si>
  <si>
    <t>tags=62%, list=38%, signal=99%</t>
  </si>
  <si>
    <t>REGULATION_OF_BIOLOGICAL_QUALITY</t>
  </si>
  <si>
    <t>tags=38%, list=33%, signal=55%</t>
  </si>
  <si>
    <t>CYTOKINESIS</t>
  </si>
  <si>
    <t>tags=20%, list=7%, signal=21%</t>
  </si>
  <si>
    <t>POSITIVE_REGULATION_OF_T_CELL_ACTIVATION</t>
  </si>
  <si>
    <t>tags=63%, list=36%, signal=99%</t>
  </si>
  <si>
    <t>ADHERENS_JUNCTION</t>
  </si>
  <si>
    <t>REGULATION_OF_CATALYTIC_ACTIVITY</t>
  </si>
  <si>
    <t>tags=20%, list=19%, signal=25%</t>
  </si>
  <si>
    <t>IDENTICAL_PROTEIN_BINDING</t>
  </si>
  <si>
    <t>tags=29%, list=27%, signal=39%</t>
  </si>
  <si>
    <t>PROTEIN_TARGETING</t>
  </si>
  <si>
    <t>VESICLE</t>
  </si>
  <si>
    <t>tags=28%, list=24%, signal=36%</t>
  </si>
  <si>
    <t>KINETOCHORE</t>
  </si>
  <si>
    <t>SISTER_CHROMATID_SEGREGATION</t>
  </si>
  <si>
    <t>tags=29%, list=18%, signal=36%</t>
  </si>
  <si>
    <t>PROTEIN_BINDING_BRIDGING</t>
  </si>
  <si>
    <t>CELL_CYCLE_PHASE</t>
  </si>
  <si>
    <t>CATION_TRANSPORT</t>
  </si>
  <si>
    <t>PROTEIN_HOMODIMERIZATION_ACTIVITY</t>
  </si>
  <si>
    <t>tags=38%, list=32%, signal=55%</t>
  </si>
  <si>
    <t>CELL_CYCLE_GO_0007049</t>
  </si>
  <si>
    <t>tags=29%, list=28%, signal=40%</t>
  </si>
  <si>
    <t>POSITIVE_REGULATION_OF_PHOSPHATE_METABOLIC_PROCESS</t>
  </si>
  <si>
    <t>tags=52%, list=38%, signal=84%</t>
  </si>
  <si>
    <t>PEPTIDYL_TYROSINE_PHOSPHORYLATION</t>
  </si>
  <si>
    <t>EXTERNAL_SIDE_OF_PLASMA_MEMBRANE</t>
  </si>
  <si>
    <t>SH3_DOMAIN_BINDING</t>
  </si>
  <si>
    <t>tags=53%, list=38%, signal=85%</t>
  </si>
  <si>
    <t>GOLGI_APPARATUS</t>
  </si>
  <si>
    <t>tags=42%, list=38%, signal=66%</t>
  </si>
  <si>
    <t>DETECTION_OF_EXTERNAL_STIMULUS</t>
  </si>
  <si>
    <t>tags=35%, list=28%, signal=49%</t>
  </si>
  <si>
    <t>TRANSLATION_FACTOR_ACTIVITY_NUCLEIC_ACID_BINDING</t>
  </si>
  <si>
    <t>CELL_DIVISION</t>
  </si>
  <si>
    <t>tags=18%, list=7%, signal=19%</t>
  </si>
  <si>
    <t>DNA_POLYMERASE_ACTIVITY</t>
  </si>
  <si>
    <t>CYTOPLASMIC_VESICLE</t>
  </si>
  <si>
    <t>tags=27%, list=24%, signal=36%</t>
  </si>
  <si>
    <t>MEMBRANE_BOUND_VESICLE</t>
  </si>
  <si>
    <t>DETECTION_OF_STIMULUS</t>
  </si>
  <si>
    <t>tags=39%, list=34%, signal=59%</t>
  </si>
  <si>
    <t>NERVOUS_SYSTEM_DEVELOPMENT</t>
  </si>
  <si>
    <t>tags=45%, list=42%, signal=76%</t>
  </si>
  <si>
    <t>NUCLEOBASENUCLEOSIDENUCLEOTIDE_AND_NUCLEIC_ACID_TRANSPORT</t>
  </si>
  <si>
    <t>tags=14%, list=6%, signal=15%</t>
  </si>
  <si>
    <t>PEPTIDYL_TYROSINE_MODIFICATION</t>
  </si>
  <si>
    <t>tags=68%, list=49%, signal=133%</t>
  </si>
  <si>
    <t>SULFUR_COMPOUND_BIOSYNTHETIC_PROCESS</t>
  </si>
  <si>
    <t>tags=56%, list=36%, signal=87%</t>
  </si>
  <si>
    <t>REGULATION_OF_CYCLIN_DEPENDENT_PROTEIN_KINASE_ACTIVITY</t>
  </si>
  <si>
    <t>tags=35%, list=31%, signal=51%</t>
  </si>
  <si>
    <t>REGULATION_OF_BODY_FLUID_LEVELS</t>
  </si>
  <si>
    <t>tags=25%, list=14%, signal=28%</t>
  </si>
  <si>
    <t>MRNA_PROCESSING_GO_0006397</t>
  </si>
  <si>
    <t>POSITIVE_REGULATION_OF_DNA_BINDING</t>
  </si>
  <si>
    <t>NEGATIVE_REGULATION_OF_PROTEIN_METABOLIC_PROCESS</t>
  </si>
  <si>
    <t>tags=43%, list=37%, signal=68%</t>
  </si>
  <si>
    <t>POSITIVE_REGULATION_OF_BINDING</t>
  </si>
  <si>
    <t>PROTEIN_TRANSPORT</t>
  </si>
  <si>
    <t>RESPONSE_TO_STRESS</t>
  </si>
  <si>
    <t>tags=32%, list=31%, signal=45%</t>
  </si>
  <si>
    <t>CYTOPLASMIC_MEMBRANE_BOUND_VESICLE</t>
  </si>
  <si>
    <t>COVALENT_CHROMATIN_MODIFICATION</t>
  </si>
  <si>
    <t>tags=38%, list=25%, signal=50%</t>
  </si>
  <si>
    <t>RESPONSE_TO_DNA_DAMAGE_STIMULUS</t>
  </si>
  <si>
    <t>tags=18%, list=15%, signal=21%</t>
  </si>
  <si>
    <t>PHOSPHOLIPASE_ACTIVITY</t>
  </si>
  <si>
    <t>tags=32%, list=27%, signal=44%</t>
  </si>
  <si>
    <t>ACTIVATION_OF_IMMUNE_RESPONSE</t>
  </si>
  <si>
    <t>HEMOSTASIS</t>
  </si>
  <si>
    <t>tags=30%, list=19%, signal=38%</t>
  </si>
  <si>
    <t>CHROMOSOME</t>
  </si>
  <si>
    <t>tags=30%, list=26%, signal=40%</t>
  </si>
  <si>
    <t>REGULATION_OF_PROTEIN_AMINO_ACID_PHOSPHORYLATION</t>
  </si>
  <si>
    <t>tags=48%, list=34%, signal=73%</t>
  </si>
  <si>
    <t>POSITIVE_REGULATION_OF_DEVELOPMENTAL_PROCESS</t>
  </si>
  <si>
    <t>BASE_EXCISION_REPAIR</t>
  </si>
  <si>
    <t>CONDENSED_CHROMOSOME</t>
  </si>
  <si>
    <t>tags=38%, list=26%, signal=50%</t>
  </si>
  <si>
    <t>MORPHOGENESIS_OF_AN_EPITHELIUM</t>
  </si>
  <si>
    <t>tags=47%, list=32%, signal=69%</t>
  </si>
  <si>
    <t>CYTOKINE_SECRETION</t>
  </si>
  <si>
    <t>tags=56%, list=32%, signal=83%</t>
  </si>
  <si>
    <t>MICROTUBULE</t>
  </si>
  <si>
    <t>tags=19%, list=14%, signal=23%</t>
  </si>
  <si>
    <t>INTRINSIC_TO_GOLGI_MEMBRANE</t>
  </si>
  <si>
    <t>tags=13%, list=1%, signal=13%</t>
  </si>
  <si>
    <t>DNA_METABOLIC_PROCESS</t>
  </si>
  <si>
    <t>tags=21%, list=21%, signal=26%</t>
  </si>
  <si>
    <t>REGULATION_OF_GROWTH</t>
  </si>
  <si>
    <t>tags=40%, list=31%, signal=58%</t>
  </si>
  <si>
    <t>PHOSPHOINOSITIDE_MEDIATED_SIGNALING</t>
  </si>
  <si>
    <t>tags=33%, list=27%, signal=46%</t>
  </si>
  <si>
    <t>TRANSLATION_REGULATOR_ACTIVITY</t>
  </si>
  <si>
    <t>tags=24%, list=19%, signal=30%</t>
  </si>
  <si>
    <t>TRANSITION_METAL_ION_BINDING</t>
  </si>
  <si>
    <t>PROTEIN_DIMERIZATION_ACTIVITY</t>
  </si>
  <si>
    <t>ESTABLISHMENT_OF_PROTEIN_LOCALIZATION</t>
  </si>
  <si>
    <t>tags=33%, list=31%, signal=47%</t>
  </si>
  <si>
    <t>SODIUM_CHANNEL_ACTIVITY</t>
  </si>
  <si>
    <t>tags=41%, list=25%, signal=55%</t>
  </si>
  <si>
    <t>RNA_PROCESSING</t>
  </si>
  <si>
    <t>CAMP_MEDIATED_SIGNALING</t>
  </si>
  <si>
    <t>tags=51%, list=43%, signal=89%</t>
  </si>
  <si>
    <t>INSULIN_RECEPTOR_SIGNALING_PATHWAY</t>
  </si>
  <si>
    <t>BLOOD_COAGULATION</t>
  </si>
  <si>
    <t>POSITIVE_REGULATION_OF_PROTEIN_AMINO_ACID_PHOSPHORYLATION</t>
  </si>
  <si>
    <t>tags=53%, list=38%, signal=86%</t>
  </si>
  <si>
    <t>REGULATION_OF_MULTICELLULAR_ORGANISMAL_PROCESS</t>
  </si>
  <si>
    <t>tags=39%, list=31%, signal=56%</t>
  </si>
  <si>
    <t>POSITIVE_REGULATION_OF_TRANSFERASE_ACTIVITY</t>
  </si>
  <si>
    <t>REGULATION_OF_CELL_GROWTH</t>
  </si>
  <si>
    <t>INVADOPODIA_WEI_GUO</t>
  </si>
  <si>
    <t>tags=30%, list=24%, signal=39%</t>
  </si>
  <si>
    <t>RESPONSE_TO_ENDOGENOUS_STIMULUS</t>
  </si>
  <si>
    <t>tags=13%, list=10%, signal=14%</t>
  </si>
  <si>
    <t>ION_TRANSPORT</t>
  </si>
  <si>
    <t>tags=35%, list=30%, signal=50%</t>
  </si>
  <si>
    <t>MONOVALENT_INORGANIC_CATION_TRANSPORT</t>
  </si>
  <si>
    <t>tags=44%, list=33%, signal=64%</t>
  </si>
  <si>
    <t>PROTEIN_OLIGOMERIZATION</t>
  </si>
  <si>
    <t>INTRACELLULAR_PROTEIN_TRANSPORT</t>
  </si>
  <si>
    <t>tags=33%, list=31%, signal=48%</t>
  </si>
  <si>
    <t>COAGULATION</t>
  </si>
  <si>
    <t>NUCLEAR_CHROMOSOME</t>
  </si>
  <si>
    <t>SENSORY_PERCEPTION</t>
  </si>
  <si>
    <t>tags=27%, list=25%, signal=35%</t>
  </si>
  <si>
    <t>HYDROLASE_ACTIVITY_ACTING_ON_ACID_ANHYDRIDESCATALYZING_TRANSMEMBRANE_MOVEMENT_OF_SUBSTANCES</t>
  </si>
  <si>
    <t>STRUCTURAL_CONSTITUENT_OF_MUSCLE</t>
  </si>
  <si>
    <t>tags=21%, list=10%, signal=23%</t>
  </si>
  <si>
    <t>REGULATION_OF_DEVELOPMENTAL_PROCESS</t>
  </si>
  <si>
    <t>tags=35%, list=32%, signal=49%</t>
  </si>
  <si>
    <t>ATPASE_ACTIVITY_COUPLED_TO_TRANSMEMBRANE_MOVEMENT_OF_IONS</t>
  </si>
  <si>
    <t>LIPASE_ACTIVITY</t>
  </si>
  <si>
    <t>PHAGOCYTOSIS</t>
  </si>
  <si>
    <t>tags=44%, list=38%, signal=71%</t>
  </si>
  <si>
    <t>SH3_SH2_ADAPTOR_ACTIVITY</t>
  </si>
  <si>
    <t>HOMEOSTASIS_OF_NUMBER_OF_CELLS</t>
  </si>
  <si>
    <t>tags=70%, list=44%, signal=124%</t>
  </si>
  <si>
    <t>AMINO_SUGAR_METABOLIC_PROCESS</t>
  </si>
  <si>
    <t>tags=61%, list=49%, signal=119%</t>
  </si>
  <si>
    <t>NUCLEAR_BODY</t>
  </si>
  <si>
    <t>tags=35%, list=26%, signal=48%</t>
  </si>
  <si>
    <t>REGULATION_OF_RESPONSE_TO_STIMULUS</t>
  </si>
  <si>
    <t>tags=45%, list=34%, signal=68%</t>
  </si>
  <si>
    <t>DIOXYGENASES</t>
  </si>
  <si>
    <t>tags=14%, list=8%, signal=15%</t>
  </si>
  <si>
    <t>CELL_CYCLE_CHECKPOINT_GO_0000075</t>
  </si>
  <si>
    <t>tags=21%, list=20%, signal=27%</t>
  </si>
  <si>
    <t>CELLULAR_HOMEOSTASIS</t>
  </si>
  <si>
    <t>ATPASE_ACTIVITY_COUPLED_TO_MOVEMENT_OF_SUBSTANCES</t>
  </si>
  <si>
    <t>tags=27%, list=25%, signal=36%</t>
  </si>
  <si>
    <t>POSITIVE_REGULATION_OF_CATALYTIC_ACTIVITY</t>
  </si>
  <si>
    <t>tags=31%, list=31%, signal=44%</t>
  </si>
  <si>
    <t>PROTEIN_HOMOOLIGOMERIZATION</t>
  </si>
  <si>
    <t>VESICLE_MEDIATED_TRANSPORT</t>
  </si>
  <si>
    <t>tags=38%, list=34%, signal=57%</t>
  </si>
  <si>
    <t>VIRAL_INFECTIOUS_CYCLE</t>
  </si>
  <si>
    <t>tags=26%, list=21%, signal=33%</t>
  </si>
  <si>
    <t>NEGATIVE_REGULATION_OF_CELLULAR_PROTEIN_METABOLIC_PROCESS</t>
  </si>
  <si>
    <t>tags=43%, list=37%, signal=67%</t>
  </si>
  <si>
    <t>CYTOKINE_AND_CHEMOKINE_MEDIATED_SIGNALING_PATHWAY</t>
  </si>
  <si>
    <t>tags=27%, list=19%, signal=34%</t>
  </si>
  <si>
    <t>CELL_FRACTION</t>
  </si>
  <si>
    <t>tags=33%, list=33%, signal=49%</t>
  </si>
  <si>
    <t>GROWTH_FACTOR_ACTIVITY</t>
  </si>
  <si>
    <t>tags=53%, list=43%, signal=94%</t>
  </si>
  <si>
    <t>HISTONE_MODIFICATION</t>
  </si>
  <si>
    <t>tags=20%, list=9%, signal=22%</t>
  </si>
  <si>
    <t>PHOSPHOINOSITIDE_METABOLIC_PROCESS</t>
  </si>
  <si>
    <t>tags=10%, list=7%, signal=10%</t>
  </si>
  <si>
    <t>POSITIVE_REGULATION_OF_TRANSPORT</t>
  </si>
  <si>
    <t>tags=58%, list=42%, signal=99%</t>
  </si>
  <si>
    <t>GENERATION_OF_A_SIGNAL_INVOLVED_IN_CELL_CELL_SIGNALING</t>
  </si>
  <si>
    <t>tags=46%, list=42%, signal=79%</t>
  </si>
  <si>
    <t>REGULATION_OF_G_PROTEIN_COUPLED_RECEPTOR_PROTEIN_SIGNALING_PATHWAY</t>
  </si>
  <si>
    <t>tags=64%, list=42%, signal=110%</t>
  </si>
  <si>
    <t>GOLGI_ASSOCIATED_VESICLE</t>
  </si>
  <si>
    <t>CELLULAR_MORPHOGENESIS_DURING_DIFFERENTIATION</t>
  </si>
  <si>
    <t>tags=60%, list=46%, signal=111%</t>
  </si>
  <si>
    <t>AUXILIARY_TRANSPORT_PROTEIN_ACTIVITY</t>
  </si>
  <si>
    <t>tags=39%, list=31%, signal=57%</t>
  </si>
  <si>
    <t>CHROMOSOMAL_PART</t>
  </si>
  <si>
    <t>BIOPOLYMER_CATABOLIC_PROCESS</t>
  </si>
  <si>
    <t>tags=12%, list=10%, signal=14%</t>
  </si>
  <si>
    <t>INORGANIC_ANION_TRANSPORT</t>
  </si>
  <si>
    <t>REGULATION_OF_PROTEIN_METABOLIC_PROCESS</t>
  </si>
  <si>
    <t>tags=30%, list=27%, signal=40%</t>
  </si>
  <si>
    <t>WOUND_HEALING</t>
  </si>
  <si>
    <t>tags=24%, list=14%, signal=27%</t>
  </si>
  <si>
    <t>AMINE_RECEPTOR_ACTIVITY</t>
  </si>
  <si>
    <t>tags=58%, list=45%, signal=105%</t>
  </si>
  <si>
    <t>ENDOSOME</t>
  </si>
  <si>
    <t>tags=18%, list=17%, signal=22%</t>
  </si>
  <si>
    <t>CELLULAR_LOCALIZATION</t>
  </si>
  <si>
    <t>tags=33%, list=33%, signal=47%</t>
  </si>
  <si>
    <t>LIPID_RAFT</t>
  </si>
  <si>
    <t>NUCLEOLUS</t>
  </si>
  <si>
    <t>REGULATION_OF_DNA_BINDING</t>
  </si>
  <si>
    <t>tags=30%, list=20%, signal=38%</t>
  </si>
  <si>
    <t>EXTRACELLULAR_REGION_PART</t>
  </si>
  <si>
    <t>REGULATION_OF_TRANSCRIPTION_FACTOR_ACTIVITY</t>
  </si>
  <si>
    <t>tags=44%, list=31%, signal=63%</t>
  </si>
  <si>
    <t>EXTRACELLULAR_REGION</t>
  </si>
  <si>
    <t>tags=32%, list=28%, signal=43%</t>
  </si>
  <si>
    <t>REGULATION_OF_NUCLEOCYTOPLASMIC_TRANSPORT</t>
  </si>
  <si>
    <t>tags=52%, list=36%, signal=82%</t>
  </si>
  <si>
    <t>REGULATION_OF_INTRACELLULAR_TRANSPORT</t>
  </si>
  <si>
    <t>tags=50%, list=36%, signal=78%</t>
  </si>
  <si>
    <t>METALLOPEPTIDASE_ACTIVITY</t>
  </si>
  <si>
    <t>tags=46%, list=34%, signal=69%</t>
  </si>
  <si>
    <t>POSITIVE_REGULATION_OF_CELL_PROLIFERATION</t>
  </si>
  <si>
    <t>tags=59%, list=48%, signal=112%</t>
  </si>
  <si>
    <t>RIBONUCLEOTIDE_METABOLIC_PROCESS</t>
  </si>
  <si>
    <t>tags=6%, list=0%, signal=6%</t>
  </si>
  <si>
    <t>EPIDERMAL_GROWTH_FACTOR_RECEPTOR_SIGNALING_PATHWAY</t>
  </si>
  <si>
    <t>tags=19%, list=7%, signal=21%</t>
  </si>
  <si>
    <t>SYNAPTIC_TRANSMISSION</t>
  </si>
  <si>
    <t>tags=51%, list=45%, signal=92%</t>
  </si>
  <si>
    <t>AMINE_BINDING</t>
  </si>
  <si>
    <t>INTRACELLULAR_TRANSPORT</t>
  </si>
  <si>
    <t>tags=32%, list=32%, signal=46%</t>
  </si>
  <si>
    <t>AXONOGENESIS</t>
  </si>
  <si>
    <t>tags=61%, list=46%, signal=114%</t>
  </si>
  <si>
    <t>REGULATION_OF_BLOOD_PRESSURE</t>
  </si>
  <si>
    <t>tags=50%, list=32%, signal=74%</t>
  </si>
  <si>
    <t>ENDOSOME_TRANSPORT</t>
  </si>
  <si>
    <t>MITOTIC_CELL_CYCLE_CHECKPOINT</t>
  </si>
  <si>
    <t>tags=10%, list=2%, signal=10%</t>
  </si>
  <si>
    <t>SYNAPSE_ORGANIZATION_AND_BIOGENESIS</t>
  </si>
  <si>
    <t>tags=55%, list=42%, signal=94%</t>
  </si>
  <si>
    <t>PRIMARY_ACTIVE_TRANSMEMBRANE_TRANSPORTER_ACTIVITY</t>
  </si>
  <si>
    <t>METALLOENDOPEPTIDASE_ACTIVITY</t>
  </si>
  <si>
    <t>CHROMOSOMEPERICENTRIC_REGION</t>
  </si>
  <si>
    <t>CELL_PROJECTION_PART</t>
  </si>
  <si>
    <t>tags=33%, list=29%, signal=47%</t>
  </si>
  <si>
    <t>REGULATION_OF_BINDING</t>
  </si>
  <si>
    <t>TRANSMISSION_OF_NERVE_IMPULSE</t>
  </si>
  <si>
    <t>tags=50%, list=45%, signal=90%</t>
  </si>
  <si>
    <t>POSITIVE_REGULATION_OF_CELLULAR_COMPONENT_ORGANIZATION_AND_BIOGENESIS</t>
  </si>
  <si>
    <t>tags=31%, list=28%, signal=43%</t>
  </si>
  <si>
    <t>APOPTOSIS_GO</t>
  </si>
  <si>
    <t>CELL_MATURATION</t>
  </si>
  <si>
    <t>GOLGI_MEMBRANE</t>
  </si>
  <si>
    <t>tags=31%, list=32%, signal=46%</t>
  </si>
  <si>
    <t>DNA_INTEGRITY_CHECKPOINT</t>
  </si>
  <si>
    <t>tags=13%, list=6%, signal=14%</t>
  </si>
  <si>
    <t>PROGRAMMED_CELL_DEATH</t>
  </si>
  <si>
    <t>ACTIVATION_OF_NF_KAPPAB_TRANSCRIPTION_FACTOR</t>
  </si>
  <si>
    <t>SYSTEM_PROCESS</t>
  </si>
  <si>
    <t>tags=39%, list=39%, signal=61%</t>
  </si>
  <si>
    <t>HOMEOSTATIC_PROCESS</t>
  </si>
  <si>
    <t>tags=34%, list=31%, signal=50%</t>
  </si>
  <si>
    <t>REGULATION_OF_CELLULAR_PROTEIN_METABOLIC_PROCESS</t>
  </si>
  <si>
    <t>MEMBRANE_ORGANIZATION_AND_BIOGENESIS</t>
  </si>
  <si>
    <t>tags=36%, list=31%, signal=51%</t>
  </si>
  <si>
    <t>ENDOPEPTIDASE_ACTIVITY</t>
  </si>
  <si>
    <t>tags=23%, list=19%, signal=29%</t>
  </si>
  <si>
    <t>REGULATION_OF_MITOTIC_CELL_CYCLE</t>
  </si>
  <si>
    <t>MOTOR_ACTIVITY</t>
  </si>
  <si>
    <t>tags=24%, list=18%, signal=29%</t>
  </si>
  <si>
    <t>UDP_GLYCOSYLTRANSFERASE_ACTIVITY</t>
  </si>
  <si>
    <t>tags=50%, list=46%, signal=93%</t>
  </si>
  <si>
    <t>ESTABLISHMENT_OF_CELLULAR_LOCALIZATION</t>
  </si>
  <si>
    <t>tags=32%, list=33%, signal=46%</t>
  </si>
  <si>
    <t>CELL_JUNCTION</t>
  </si>
  <si>
    <t>tags=17%, list=13%, signal=19%</t>
  </si>
  <si>
    <t>REGULATION_OF_MAPKKK_CASCADE</t>
  </si>
  <si>
    <t>tags=45%, list=40%, signal=75%</t>
  </si>
  <si>
    <t>NUCLEOTIDE_EXCISION_REPAIR</t>
  </si>
  <si>
    <t>POSITIVE_REGULATION_OF_CELLULAR_PROTEIN_METABOLIC_PROCESS</t>
  </si>
  <si>
    <t>VIRAL_REPRODUCTIVE_PROCESS</t>
  </si>
  <si>
    <t>tags=23%, list=21%, signal=29%</t>
  </si>
  <si>
    <t>LIPID_BINDING</t>
  </si>
  <si>
    <t>PERINUCLEAR_REGION_OF_CYTOPLASM</t>
  </si>
  <si>
    <t>tags=8%, list=3%, signal=8%</t>
  </si>
  <si>
    <t>DNA_DAMAGE_RESPONSESIGNAL_TRANSDUCTION</t>
  </si>
  <si>
    <t>tags=12%, list=6%, signal=13%</t>
  </si>
  <si>
    <t>ACTIVATION_OF_MAPK_ACTIVITY</t>
  </si>
  <si>
    <t>tags=13%, list=6%, signal=13%</t>
  </si>
  <si>
    <t>MICROTUBULE_ASSOCIATED_COMPLEX</t>
  </si>
  <si>
    <t>tags=17%, list=15%, signal=20%</t>
  </si>
  <si>
    <t>REGULATION_OF_SECRETION</t>
  </si>
  <si>
    <t>tags=47%, list=38%, signal=76%</t>
  </si>
  <si>
    <t>PROTEIN_SECRETION</t>
  </si>
  <si>
    <t>tags=41%, list=32%, signal=61%</t>
  </si>
  <si>
    <t>MITOTIC_CELL_CYCLE</t>
  </si>
  <si>
    <t>tags=30%, list=30%, signal=43%</t>
  </si>
  <si>
    <t>POSITIVE_REGULATION_OF_PROTEIN_METABOLIC_PROCESS</t>
  </si>
  <si>
    <t>tags=34%, list=27%, signal=47%</t>
  </si>
  <si>
    <t>NEUROLOGICAL_SYSTEM_PROCESS</t>
  </si>
  <si>
    <t>tags=43%, list=43%, signal=75%</t>
  </si>
  <si>
    <t>GROWTH</t>
  </si>
  <si>
    <t>REGULATION_OF_DEFENSE_RESPONSE</t>
  </si>
  <si>
    <t>tags=44%, list=34%, signal=66%</t>
  </si>
  <si>
    <t>NEGATIVE_REGULATION_OF_DEVELOPMENTAL_PROCESS</t>
  </si>
  <si>
    <t>ACETYLCHOLINE_BINDING</t>
  </si>
  <si>
    <t>tags=53%, list=38%, signal=87%</t>
  </si>
  <si>
    <t>AMINO_ACID_TRANSPORT</t>
  </si>
  <si>
    <t>tags=28%, list=22%, signal=36%</t>
  </si>
  <si>
    <t>AMINO_ACID_TRANSMEMBRANE_TRANSPORTER_ACTIVITY</t>
  </si>
  <si>
    <t>POSITIVE_REGULATION_OF_SECRETION</t>
  </si>
  <si>
    <t>tags=53%, list=37%, signal=83%</t>
  </si>
  <si>
    <t>RESPONSE_TO_HYPOXIA</t>
  </si>
  <si>
    <t>CHEMICAL_HOMEOSTASIS</t>
  </si>
  <si>
    <t>tags=36%, list=31%, signal=52%</t>
  </si>
  <si>
    <t>REGULATION_OF_APOPTOSIS</t>
  </si>
  <si>
    <t>CHANNEL_REGULATOR_ACTIVITY</t>
  </si>
  <si>
    <t>tags=38%, list=31%, signal=55%</t>
  </si>
  <si>
    <t>RESPONSE_TO_CHEMICAL_STIMULUS</t>
  </si>
  <si>
    <t>tags=33%, list=30%, signal=47%</t>
  </si>
  <si>
    <t>REGULATION_OF_PROGRAMMED_CELL_DEATH</t>
  </si>
  <si>
    <t>tags=22%, list=20%, signal=26%</t>
  </si>
  <si>
    <t>RECEPTOR_MEDIATED_ENDOCYTOSIS</t>
  </si>
  <si>
    <t>PATTERN_BINDING</t>
  </si>
  <si>
    <t>tags=63%, list=46%, signal=115%</t>
  </si>
  <si>
    <t>MEMBRANE_FRACTION</t>
  </si>
  <si>
    <t>tags=33%, list=34%, signal=49%</t>
  </si>
  <si>
    <t>REPLICATION_FORK</t>
  </si>
  <si>
    <t>VIRAL_REPRODUCTION</t>
  </si>
  <si>
    <t>INTERMEDIATE_FILAMENT_CYTOSKELETON</t>
  </si>
  <si>
    <t>tags=52%, list=40%, signal=87%</t>
  </si>
  <si>
    <t>INTERMEDIATE_FILAMENT</t>
  </si>
  <si>
    <t>CHROMATIN</t>
  </si>
  <si>
    <t>tags=29%, list=28%, signal=41%</t>
  </si>
  <si>
    <t>EXTRINSIC_TO_MEMBRANE</t>
  </si>
  <si>
    <t>tags=50%, list=39%, signal=82%</t>
  </si>
  <si>
    <t>G_PROTEIN_SIGNALING_COUPLED_TO_IP3_SECOND_MESSENGERPHOSPHOLIPASE_C_ACTIVATING</t>
  </si>
  <si>
    <t>tags=28%, list=27%, signal=39%</t>
  </si>
  <si>
    <t>ION_TRANSMEMBRANE_TRANSPORTER_ACTIVITY</t>
  </si>
  <si>
    <t>EXOPEPTIDASE_ACTIVITY</t>
  </si>
  <si>
    <t>tags=53%, list=42%, signal=92%</t>
  </si>
  <si>
    <t>POSITIVE_REGULATION_OF_MAP_KINASE_ACTIVITY</t>
  </si>
  <si>
    <t>IMMUNE_EFFECTOR_PROCESS</t>
  </si>
  <si>
    <t>tags=36%, list=26%, signal=49%</t>
  </si>
  <si>
    <t>DEVELOPMENTAL_MATURATION</t>
  </si>
  <si>
    <t>RHO_PROTEIN_SIGNAL_TRANSDUCTION</t>
  </si>
  <si>
    <t>tags=32%, list=26%, signal=44%</t>
  </si>
  <si>
    <t>NEURON_PROJECTION</t>
  </si>
  <si>
    <t>tags=35%, list=29%, signal=49%</t>
  </si>
  <si>
    <t>CYTOSKELETON_DEPENDENT_INTRACELLULAR_TRANSPORT</t>
  </si>
  <si>
    <t>tags=20%, list=18%, signal=24%</t>
  </si>
  <si>
    <t>CATION_TRANSMEMBRANE_TRANSPORTER_ACTIVITY</t>
  </si>
  <si>
    <t>tags=44%, list=39%, signal=71%</t>
  </si>
  <si>
    <t>PHOSPHATASE_REGULATOR_ACTIVITY</t>
  </si>
  <si>
    <t>tags=44%, list=34%, signal=67%</t>
  </si>
  <si>
    <t>MITOTIC_SISTER_CHROMATID_SEGREGATION</t>
  </si>
  <si>
    <t>ENERGY_RESERVE_METABOLIC_PROCESS</t>
  </si>
  <si>
    <t>tags=47%, list=41%, signal=79%</t>
  </si>
  <si>
    <t>CARBOHYDRATE_BINDING</t>
  </si>
  <si>
    <t>tags=48%, list=39%, signal=78%</t>
  </si>
  <si>
    <t>M_PHASE</t>
  </si>
  <si>
    <t>tags=26%, list=28%, signal=35%</t>
  </si>
  <si>
    <t>REGULATION_OF_MUSCLE_CONTRACTION</t>
  </si>
  <si>
    <t>tags=38%, list=27%, signal=51%</t>
  </si>
  <si>
    <t>KINASE_INHIBITOR_ACTIVITY</t>
  </si>
  <si>
    <t>tags=46%, list=40%, signal=77%</t>
  </si>
  <si>
    <t>PEPTIDASE_ACTIVITY</t>
  </si>
  <si>
    <t>tags=21%, list=19%, signal=26%</t>
  </si>
  <si>
    <t>REGULATION_OF_PROTEIN_MODIFICATION_PROCESS</t>
  </si>
  <si>
    <t>tags=44%, list=38%, signal=70%</t>
  </si>
  <si>
    <t>REPRODUCTION</t>
  </si>
  <si>
    <t>tags=20%, list=25%, signal=26%</t>
  </si>
  <si>
    <t>SECRETION_BY_CELL</t>
  </si>
  <si>
    <t>tags=37%, list=34%, signal=55%</t>
  </si>
  <si>
    <t>POSITIVE_REGULATION_OF_CASPASE_ACTIVITY</t>
  </si>
  <si>
    <t>RESPONSE_TO_NUTRIENT</t>
  </si>
  <si>
    <t>INTERCELLULAR_JUNCTION</t>
  </si>
  <si>
    <t>tags=15%, list=13%, signal=17%</t>
  </si>
  <si>
    <t>ACETYLGLUCOSAMINYLTRANSFERASE_ACTIVITY</t>
  </si>
  <si>
    <t>PROTEOGLYCAN_BIOSYNTHETIC_PROCESS</t>
  </si>
  <si>
    <t>JNK_CASCADE</t>
  </si>
  <si>
    <t>tags=57%, list=47%, signal=109%</t>
  </si>
  <si>
    <t>PROTEIN_AMINO_ACID_O_LINKED_GLYCOSYLATION</t>
  </si>
  <si>
    <t>REGULATION_OF_PROTEIN_SECRETION</t>
  </si>
  <si>
    <t>tags=45%, list=32%, signal=66%</t>
  </si>
  <si>
    <t>SYNAPTOGENESIS</t>
  </si>
  <si>
    <t>tags=50%, list=42%, signal=86%</t>
  </si>
  <si>
    <t>GAMETE_GENERATION</t>
  </si>
  <si>
    <t>tags=21%, list=26%, signal=28%</t>
  </si>
  <si>
    <t>CHROMOSOME_SEGREGATION</t>
  </si>
  <si>
    <t>tags=19%, list=18%, signal=23%</t>
  </si>
  <si>
    <t>GLYCOSAMINOGLYCAN_BINDING</t>
  </si>
  <si>
    <t>POLYSACCHARIDE_BINDING</t>
  </si>
  <si>
    <t>PROTEIN_KINASE_INHIBITOR_ACTIVITY</t>
  </si>
  <si>
    <t>tags=43%, list=40%, signal=73%</t>
  </si>
  <si>
    <t>SEXUAL_REPRODUCTION</t>
  </si>
  <si>
    <t>tags=20%, list=26%, signal=27%</t>
  </si>
  <si>
    <t>FEMALE_PREGNANCY</t>
  </si>
  <si>
    <t>tags=23%, list=24%, signal=30%</t>
  </si>
  <si>
    <t>REGULATION_OF_ACTION_POTENTIAL</t>
  </si>
  <si>
    <t>tags=50%, list=42%, signal=87%</t>
  </si>
  <si>
    <t>REGULATION_OF_NEUROTRANSMITTER_LEVELS</t>
  </si>
  <si>
    <t>tags=58%, list=45%, signal=106%</t>
  </si>
  <si>
    <t>GENERATION_OF_NEURONS</t>
  </si>
  <si>
    <t>tags=51%, list=46%, signal=95%</t>
  </si>
  <si>
    <t>REPRODUCTIVE_PROCESS</t>
  </si>
  <si>
    <t>tags=17%, list=21%, signal=21%</t>
  </si>
  <si>
    <t>GOLGI_VESICLE_TRANSPORT</t>
  </si>
  <si>
    <t>tags=46%, list=38%, signal=74%</t>
  </si>
  <si>
    <t>NEURON_DIFFERENTIATION</t>
  </si>
  <si>
    <t>tags=54%, list=46%, signal=99%</t>
  </si>
  <si>
    <t>SUGAR_BINDING</t>
  </si>
  <si>
    <t>tags=47%, list=38%, signal=75%</t>
  </si>
  <si>
    <t>STRESS_ACTIVATED_PROTEIN_KINASE_SIGNALING_PATHWAY</t>
  </si>
  <si>
    <t>ACTIVE_TRANSMEMBRANE_TRANSPORTER_ACTIVITY</t>
  </si>
  <si>
    <t>tags=23%, list=26%, signal=31%</t>
  </si>
  <si>
    <t>SECRETION</t>
  </si>
  <si>
    <t>tags=39%, list=38%, signal=62%</t>
  </si>
  <si>
    <t>HEPARIN_BINDING</t>
  </si>
  <si>
    <t>AMINE_TRANSMEMBRANE_TRANSPORTER_ACTIVITY</t>
  </si>
  <si>
    <t>tags=34%, list=36%, signal=53%</t>
  </si>
  <si>
    <t>NEUROTRANSMITTER_BINDING</t>
  </si>
  <si>
    <t>tags=42%, list=39%, signal=70%</t>
  </si>
  <si>
    <t>NEGATIVE_REGULATION_OF_MULTICELLULAR_ORGANISMAL_PROCESS</t>
  </si>
  <si>
    <t>REGULATION_OF_MITOSIS</t>
  </si>
  <si>
    <t>tags=8%, list=4%, signal=8%</t>
  </si>
  <si>
    <t>POSITIVE_REGULATION_OF_PROTEIN_MODIFICATION_PROCESS</t>
  </si>
  <si>
    <t>tags=42%, list=38%, signal=67%</t>
  </si>
  <si>
    <t>LIGAND_DEPENDENT_NUCLEAR_RECEPTOR_ACTIVITY</t>
  </si>
  <si>
    <t>AMINE_TRANSPORT</t>
  </si>
  <si>
    <t>MONOOXYGENASE_ACTIVITY</t>
  </si>
  <si>
    <t>tags=21%, list=20%, signal=26%</t>
  </si>
  <si>
    <t>NEUROTRANSMITTER_RECEPTOR_ACTIVITY</t>
  </si>
  <si>
    <t>tags=42%, list=39%, signal=69%</t>
  </si>
  <si>
    <t>HUMORAL_IMMUNE_RESPONSE</t>
  </si>
  <si>
    <t>tags=57%, list=44%, signal=101%</t>
  </si>
  <si>
    <t>ER_TO_GOLGI_VESICLE_MEDIATED_TRANSPORT</t>
  </si>
  <si>
    <t>tags=44%, list=37%, signal=70%</t>
  </si>
  <si>
    <t>RIBOSOME_BIOGENESIS_AND_ASSEMBLY</t>
  </si>
  <si>
    <t>tags=39%, list=36%, signal=61%</t>
  </si>
  <si>
    <t>MICROTUBULE_BASED_MOVEMENT</t>
  </si>
  <si>
    <t>tags=50%, list=51%, signal=101%</t>
  </si>
  <si>
    <t>MICROTUBULE_MOTOR_ACTIVITY</t>
  </si>
  <si>
    <t>tags=60%, list=51%, signal=122%</t>
  </si>
  <si>
    <t>EPIGENETIC_REGULATORS_IMPROVED</t>
  </si>
  <si>
    <t>Sequencing</t>
  </si>
  <si>
    <t>Discovery</t>
  </si>
  <si>
    <t>Validation</t>
  </si>
  <si>
    <t>GCKR</t>
  </si>
  <si>
    <t>GPR126</t>
  </si>
  <si>
    <t>MLXIPL</t>
  </si>
  <si>
    <t>SERPINA3</t>
  </si>
  <si>
    <t>Gene1</t>
  </si>
  <si>
    <t>Gene2</t>
  </si>
  <si>
    <t>Mapsplice_Detected</t>
  </si>
  <si>
    <t>Prada_Detected</t>
  </si>
  <si>
    <t>Fusionmap_Detected</t>
  </si>
  <si>
    <t>TophatFusion_Detected</t>
  </si>
  <si>
    <t>deFuse_Detected</t>
  </si>
  <si>
    <t>supporting reads exist?</t>
  </si>
  <si>
    <t>Assessment</t>
  </si>
  <si>
    <t>verdict</t>
  </si>
  <si>
    <t>Number.of.Callers</t>
  </si>
  <si>
    <t>CHR1</t>
  </si>
  <si>
    <t>POS1</t>
  </si>
  <si>
    <t>CHR2</t>
  </si>
  <si>
    <t>POS2</t>
  </si>
  <si>
    <t>ENST1</t>
  </si>
  <si>
    <t>ENST2</t>
  </si>
  <si>
    <t>strand1</t>
  </si>
  <si>
    <t>strand2</t>
  </si>
  <si>
    <t>IsFusionAllowed</t>
  </si>
  <si>
    <t>FrameType</t>
  </si>
  <si>
    <t>KeptDomain</t>
  </si>
  <si>
    <t>LostDomain</t>
  </si>
  <si>
    <t>Fusion.Centrality</t>
  </si>
  <si>
    <t>EntrezID1</t>
  </si>
  <si>
    <t>EntrezID2</t>
  </si>
  <si>
    <t>TCGA-W5-AA31-01</t>
  </si>
  <si>
    <t>CCL14,CCL15-CCL14,CTB-186H2.3</t>
  </si>
  <si>
    <t>MYH10</t>
  </si>
  <si>
    <t>Detected</t>
  </si>
  <si>
    <t>5'UTR fusion but no effect on transcription. Passenger.</t>
  </si>
  <si>
    <t>PASS</t>
  </si>
  <si>
    <t>ENST00000394509|CCL14</t>
  </si>
  <si>
    <t>ENST00000269243|MYH10</t>
  </si>
  <si>
    <t>Y</t>
  </si>
  <si>
    <t>CD-UTR5</t>
  </si>
  <si>
    <t>;PF00612;PF00063;PF01576;PF02736</t>
  </si>
  <si>
    <t>;</t>
  </si>
  <si>
    <t>TCGA-W5-AA2Q-01</t>
  </si>
  <si>
    <t>looks functional</t>
  </si>
  <si>
    <t>ENST00000358487|FGFR2</t>
  </si>
  <si>
    <t>ENST00000355371|KIAA1598</t>
  </si>
  <si>
    <t>InFrame</t>
  </si>
  <si>
    <t>PF07714;PF07679;</t>
  </si>
  <si>
    <t>;PTHR23213:SF23</t>
  </si>
  <si>
    <t>TCGA-W5-AA2W-01</t>
  </si>
  <si>
    <t>ENST00000373886|BICC1</t>
  </si>
  <si>
    <t>PF07714;PF07679;PF00536</t>
  </si>
  <si>
    <t>;PF00013</t>
  </si>
  <si>
    <t>TCGA-W5-AA2Z-01</t>
  </si>
  <si>
    <t>C10orf118</t>
  </si>
  <si>
    <t>ENST00000369287|C10orf118</t>
  </si>
  <si>
    <t>TCGA-ZH-A8Y5-01</t>
  </si>
  <si>
    <t>PF07714;PF07679;PF00013;PF00536</t>
  </si>
  <si>
    <t>TCGA-WD-A7RX-01</t>
  </si>
  <si>
    <t>FOXP1</t>
  </si>
  <si>
    <t>SH3RF2</t>
  </si>
  <si>
    <t>singleton</t>
  </si>
  <si>
    <t>ENST00000318789|FOXP1</t>
  </si>
  <si>
    <t>ENST00000359120|SH3RF2</t>
  </si>
  <si>
    <t>;PF00018;PF07653</t>
  </si>
  <si>
    <t>PF00250;</t>
  </si>
  <si>
    <t>TCGA-W5-AA39-01</t>
  </si>
  <si>
    <t>IL1RAP</t>
  </si>
  <si>
    <t>SIRPG</t>
  </si>
  <si>
    <t>ENST00000072516|IL1RAP</t>
  </si>
  <si>
    <t>ENST00000303415|SIRPG</t>
  </si>
  <si>
    <t>;PF07654;PF07686</t>
  </si>
  <si>
    <t>PF01582;</t>
  </si>
  <si>
    <t>MYO18A</t>
  </si>
  <si>
    <t>ENST00000354329|MYO18A</t>
  </si>
  <si>
    <t>ENST00000358273|NF1</t>
  </si>
  <si>
    <t>OutFrame</t>
  </si>
  <si>
    <t>PF00595;PF00616</t>
  </si>
  <si>
    <t>PF00063;PF01576;</t>
  </si>
  <si>
    <t>HIC1</t>
  </si>
  <si>
    <t>ENST00000268712|NCOR1</t>
  </si>
  <si>
    <t>ENST00000322941|HIC1</t>
  </si>
  <si>
    <t>PF00249;PF00096;PF00651</t>
  </si>
  <si>
    <t>TCGA-ZH-A8Y1-01</t>
  </si>
  <si>
    <t>PTPRK</t>
  </si>
  <si>
    <t>SMNDC1</t>
  </si>
  <si>
    <t>Looks good and highly expressed. Breakpoint occurs between protein domains (good). Singleton.</t>
  </si>
  <si>
    <t>ENST00000490332|PTPRK</t>
  </si>
  <si>
    <t>ENST00000369592|SMNDC1</t>
  </si>
  <si>
    <t>;PF06003</t>
  </si>
  <si>
    <t>PF00102;PF00629;PF00041;</t>
  </si>
  <si>
    <t>TCGA-4G-AAZO-01</t>
  </si>
  <si>
    <t>RASAL2</t>
  </si>
  <si>
    <t>COPA</t>
  </si>
  <si>
    <t>ENST00000367649|RASAL2</t>
  </si>
  <si>
    <t>ENST00000241704|COPA</t>
  </si>
  <si>
    <t>;PF00400;PF04053;PF06957</t>
  </si>
  <si>
    <t>PF00168;PF00616;PF12004;</t>
  </si>
  <si>
    <t>SPNS2</t>
  </si>
  <si>
    <t>PSMD11</t>
  </si>
  <si>
    <t>Looks good and highly expressed. Singleton.</t>
  </si>
  <si>
    <t>ENST00000329078|SPNS2</t>
  </si>
  <si>
    <t>ENST00000261712|PSMD11</t>
  </si>
  <si>
    <t>;PF01399</t>
  </si>
  <si>
    <t>PF07690;</t>
  </si>
  <si>
    <t>TCGA-W5-AA2X-01</t>
  </si>
  <si>
    <t>SRGAP1</t>
  </si>
  <si>
    <t>TBC1D30</t>
  </si>
  <si>
    <t>ENST00000355086|SRGAP1</t>
  </si>
  <si>
    <t>ENST00000229088|TBC1D30</t>
  </si>
  <si>
    <t>PF00611;</t>
  </si>
  <si>
    <t>PF00620;PF00018;PF00566</t>
  </si>
  <si>
    <t>TAOK1</t>
  </si>
  <si>
    <t>ENST00000261716|TAOK1</t>
  </si>
  <si>
    <t>PF00069;</t>
  </si>
  <si>
    <t>;PF00249</t>
  </si>
  <si>
    <t>TCGA-W5-AA2G-01</t>
  </si>
  <si>
    <t>TFG</t>
  </si>
  <si>
    <t>fusion is real. N=2</t>
  </si>
  <si>
    <t>ENST00000240851|TFG</t>
  </si>
  <si>
    <t>ENST00000273352|GPR128</t>
  </si>
  <si>
    <t>PF00564;PF01825;PF00002</t>
  </si>
  <si>
    <t>TCGA-ZH-A8Y8-01</t>
  </si>
  <si>
    <t>PTPRS</t>
  </si>
  <si>
    <t>TPM4</t>
  </si>
  <si>
    <t>out of frame</t>
  </si>
  <si>
    <t>REJECT</t>
  </si>
  <si>
    <t>ENST00000357368|PTPRS</t>
  </si>
  <si>
    <t>ENST00000300933|TPM4</t>
  </si>
  <si>
    <t>PF07679;</t>
  </si>
  <si>
    <t>PF00102;PF00041;PF00261</t>
  </si>
  <si>
    <t>ABR</t>
  </si>
  <si>
    <t>CRK</t>
  </si>
  <si>
    <t>no</t>
  </si>
  <si>
    <t>no evidence or out of frame.</t>
  </si>
  <si>
    <t>ENST00000302538|ABR</t>
  </si>
  <si>
    <t>ENST00000300574|CRK</t>
  </si>
  <si>
    <t>PF00168;PF00620;PF00621;PF00169;PF00017</t>
  </si>
  <si>
    <t>reciprocal fusion, no kinase domain.</t>
  </si>
  <si>
    <t>PF00013;</t>
  </si>
  <si>
    <t>PF00536;PF07714;PF07679</t>
  </si>
  <si>
    <t>C15orf57</t>
  </si>
  <si>
    <t>Passenger. This is indeed a real fusion that ccurs in 11 samples with various numbers of reads. But in all cases, the fusion involves a cryptic exon after exon 2 that is out of frame. It might be a real fusion due to a fragile site, but it is unlikely to be functional.</t>
  </si>
  <si>
    <t>ENST00000559911|C15orf57</t>
  </si>
  <si>
    <t>ENST00000337620|CBX3</t>
  </si>
  <si>
    <t>;PF01393;PF00385</t>
  </si>
  <si>
    <t>CLASP1</t>
  </si>
  <si>
    <t>FBXO11</t>
  </si>
  <si>
    <t>ENST00000263710|CLASP1</t>
  </si>
  <si>
    <t>ENST00000403359|FBXO11</t>
  </si>
  <si>
    <t>;PF02207</t>
  </si>
  <si>
    <t>PF02985;PF12348;</t>
  </si>
  <si>
    <t>TCGA-UB-A7MA-01</t>
  </si>
  <si>
    <t>DST</t>
  </si>
  <si>
    <t>EYS</t>
  </si>
  <si>
    <t>ENST00000370754|DST</t>
  </si>
  <si>
    <t>ENST00000370621|EYS</t>
  </si>
  <si>
    <t>;PF00054;PF02210;PF00008</t>
  </si>
  <si>
    <t>ELAC2</t>
  </si>
  <si>
    <t>RABEP1</t>
  </si>
  <si>
    <t>ENST00000338034|ELAC2</t>
  </si>
  <si>
    <t>ENST00000537505|RABEP1</t>
  </si>
  <si>
    <t>;PF09311;PF03528</t>
  </si>
  <si>
    <t>SM00849;</t>
  </si>
  <si>
    <t>TCGA-KR-A7K2-01</t>
  </si>
  <si>
    <t>PPP1R1B</t>
  </si>
  <si>
    <t>ENST00000269571|ERBB2</t>
  </si>
  <si>
    <t>ENST00000254079|PPP1R1B</t>
  </si>
  <si>
    <t>PF01030;PF07714;PF00757;</t>
  </si>
  <si>
    <t>;PF05395</t>
  </si>
  <si>
    <t>TCGA-W5-AA2T-01</t>
  </si>
  <si>
    <t>GAB2</t>
  </si>
  <si>
    <t>ENST00000370616|EYS</t>
  </si>
  <si>
    <t>ENST00000534168|RP11-452H21.1</t>
  </si>
  <si>
    <t>CD-UTR</t>
  </si>
  <si>
    <t>PF02210;PF00008;</t>
  </si>
  <si>
    <t>PF00054;PF00169</t>
  </si>
  <si>
    <t>ENST00000368626|FRK</t>
  </si>
  <si>
    <t>PF07679;PF00017;PF07714</t>
  </si>
  <si>
    <t>PF07714;PF00018</t>
  </si>
  <si>
    <t>TCGA-ZU-A8S4-01</t>
  </si>
  <si>
    <t>IL6ST</t>
  </si>
  <si>
    <t>ZNF706</t>
  </si>
  <si>
    <t>ENST00000381298|IL6ST</t>
  </si>
  <si>
    <t>ENST00000311212|ZNF706</t>
  </si>
  <si>
    <t>UTR5-UTR5</t>
  </si>
  <si>
    <t>;PF04419</t>
  </si>
  <si>
    <t>PF00041;PF06328;PF09240;</t>
  </si>
  <si>
    <t>ITGAV</t>
  </si>
  <si>
    <t>IFT172</t>
  </si>
  <si>
    <t>ENST00000261023|ITGAV</t>
  </si>
  <si>
    <t>ENST00000260570|IFT172</t>
  </si>
  <si>
    <t>;SM00320</t>
  </si>
  <si>
    <t>PF01839;PF08441;PF00357;</t>
  </si>
  <si>
    <t>TCGA-3X-AAVE-01</t>
  </si>
  <si>
    <t>L2HGDH</t>
  </si>
  <si>
    <t>NIN</t>
  </si>
  <si>
    <t>fusion reads in L2HGDH are only intronic. Doesn't seen to generate a functional transcript.</t>
  </si>
  <si>
    <t>ENST00000267436|L2HGDH</t>
  </si>
  <si>
    <t>ENST00000382041|NIN</t>
  </si>
  <si>
    <t>;PS50222</t>
  </si>
  <si>
    <t>PF01266;</t>
  </si>
  <si>
    <t>TCGA-W5-AA2O-01</t>
  </si>
  <si>
    <t>MAPKAPK5</t>
  </si>
  <si>
    <t>ACAD10</t>
  </si>
  <si>
    <t>ENST00000202788|MAPKAPK5</t>
  </si>
  <si>
    <t>ENST00000313698|ACAD10</t>
  </si>
  <si>
    <t>;PF00441;PF02770;PF02771</t>
  </si>
  <si>
    <t>PF00069;PF01636</t>
  </si>
  <si>
    <t>PS50222;</t>
  </si>
  <si>
    <t>;PF01266</t>
  </si>
  <si>
    <t>TCGA-W6-AA0S-01</t>
  </si>
  <si>
    <t>NRAS</t>
  </si>
  <si>
    <t>CLDN14</t>
  </si>
  <si>
    <t>singleton. Pure 5'UTR fusion but has no effect on CLDN14 expression level.</t>
  </si>
  <si>
    <t>ENST00000369535|NRAS</t>
  </si>
  <si>
    <t>ENST00000342108|CLDN14</t>
  </si>
  <si>
    <t>;PF00822</t>
  </si>
  <si>
    <t>PF00071;</t>
  </si>
  <si>
    <t>TCGA-W5-AA2U-01</t>
  </si>
  <si>
    <t>OLA1</t>
  </si>
  <si>
    <t>CAB39</t>
  </si>
  <si>
    <t>ENST00000284719|OLA1</t>
  </si>
  <si>
    <t>ENST00000258418|CAB39</t>
  </si>
  <si>
    <t>PF01926;</t>
  </si>
  <si>
    <t>PF06071;PF08569</t>
  </si>
  <si>
    <t>PEPD</t>
  </si>
  <si>
    <t>ZNF208</t>
  </si>
  <si>
    <t>ENST00000244137|PEPD</t>
  </si>
  <si>
    <t>ENST00000397126|ZNF208</t>
  </si>
  <si>
    <t>PF05195;</t>
  </si>
  <si>
    <t>PF00557;</t>
  </si>
  <si>
    <t>PITPNM3</t>
  </si>
  <si>
    <t>P2RX5</t>
  </si>
  <si>
    <t>ENST00000262483|PITPNM3</t>
  </si>
  <si>
    <t>ENST00000225328|P2RX5</t>
  </si>
  <si>
    <t>PF02862;PF00864</t>
  </si>
  <si>
    <t>PF08235;</t>
  </si>
  <si>
    <t>TCGA-3X-AAVA-01</t>
  </si>
  <si>
    <t>PTPRF</t>
  </si>
  <si>
    <t>MICALL2</t>
  </si>
  <si>
    <t>ENST00000359947|PTPRF</t>
  </si>
  <si>
    <t>ENST00000472100|MICALL2</t>
  </si>
  <si>
    <t>PF00102;PF00041;PF00307;PF00412;PF12130</t>
  </si>
  <si>
    <t>SCARB1</t>
  </si>
  <si>
    <t>UBC</t>
  </si>
  <si>
    <t>ENST00000415380|SCARB1</t>
  </si>
  <si>
    <t>ENST00000339647|UBC</t>
  </si>
  <si>
    <t>;PF00240</t>
  </si>
  <si>
    <t>PF01130;</t>
  </si>
  <si>
    <t>SHANK2</t>
  </si>
  <si>
    <t>NEU3</t>
  </si>
  <si>
    <t>ENST00000423696|SHANK2</t>
  </si>
  <si>
    <t>ENST00000294064|NEU3</t>
  </si>
  <si>
    <t>PF07653;G3DSA:2.120.10.10</t>
  </si>
  <si>
    <t>PF00595;PF00536;</t>
  </si>
  <si>
    <t>SPCS2</t>
  </si>
  <si>
    <t>ENST00000263672|SPCS2</t>
  </si>
  <si>
    <t>PF07653;</t>
  </si>
  <si>
    <t>PF00595;PF00536;PF06703</t>
  </si>
  <si>
    <t>TCGA-ZH-A8Y4-01</t>
  </si>
  <si>
    <t>SHROOM4</t>
  </si>
  <si>
    <t>ENST00000289292|SHROOM4</t>
  </si>
  <si>
    <t>ENST00000374690|AR</t>
  </si>
  <si>
    <t>PF00595;</t>
  </si>
  <si>
    <t>PF08687;</t>
  </si>
  <si>
    <t>TCGA-W5-AA30-01</t>
  </si>
  <si>
    <t>SPTBN2</t>
  </si>
  <si>
    <t>CADM2</t>
  </si>
  <si>
    <t>ENST00000309996|SPTBN2</t>
  </si>
  <si>
    <t>ENST00000407528|CADM2</t>
  </si>
  <si>
    <t>PF00307;PF00435;PF07679;PF07686;PF08205</t>
  </si>
  <si>
    <t>PF00169;</t>
  </si>
  <si>
    <t>TBC1D5</t>
  </si>
  <si>
    <t>ROBO2</t>
  </si>
  <si>
    <t xml:space="preserve">same sample has a FGFR2-BICC2 fusion. </t>
  </si>
  <si>
    <t>ENST00000253692|TBC1D5</t>
  </si>
  <si>
    <t>ENST00000487694|ROBO2</t>
  </si>
  <si>
    <t>;PF00041;PF07679</t>
  </si>
  <si>
    <t>PF00566;</t>
  </si>
  <si>
    <t>UVRAG</t>
  </si>
  <si>
    <t>ENST00000356136|UVRAG</t>
  </si>
  <si>
    <t>PF00168;PF00595;PF07653;PF00536</t>
  </si>
  <si>
    <t>PF10186;</t>
  </si>
  <si>
    <t>TCGA-W5-AA2I-01</t>
  </si>
  <si>
    <t>VGLL4</t>
  </si>
  <si>
    <t>HRH1</t>
  </si>
  <si>
    <t>ENST00000273038|VGLL4</t>
  </si>
  <si>
    <t>ENST00000397056|HRH1</t>
  </si>
  <si>
    <t>;PF00001</t>
  </si>
  <si>
    <t>SM00711;</t>
  </si>
  <si>
    <t>XRCC6BP1</t>
  </si>
  <si>
    <t>ENST00000300145|XRCC6BP1</t>
  </si>
  <si>
    <t>;PF00620;PF00611;PF00018</t>
  </si>
  <si>
    <t>PF09768;</t>
  </si>
  <si>
    <t>TCGA-3X-AAVC-01</t>
  </si>
  <si>
    <t>ZNF311</t>
  </si>
  <si>
    <t>TTBK1</t>
  </si>
  <si>
    <t>out of frame and no kinase domain.</t>
  </si>
  <si>
    <t>ENST00000377179|ZNF311</t>
  </si>
  <si>
    <t>ENST00000259750|TTBK1</t>
  </si>
  <si>
    <t>PF01352;</t>
  </si>
  <si>
    <t>;PF00069</t>
  </si>
  <si>
    <t>RPA1</t>
  </si>
  <si>
    <t>WDR81</t>
  </si>
  <si>
    <t>ENST00000254719|RPA1</t>
  </si>
  <si>
    <t>ENST00000409644|WDR81</t>
  </si>
  <si>
    <t>PF04057;PF00400</t>
  </si>
  <si>
    <t>PF01336;PF08646;PF02138</t>
  </si>
  <si>
    <t>TCGA-3X-AAVB-01</t>
  </si>
  <si>
    <t>TRIB3</t>
  </si>
  <si>
    <t>SLC24A3</t>
  </si>
  <si>
    <t>out of frame and cuts within the kinase domain.</t>
  </si>
  <si>
    <t>ENST00000217233|TRIB3</t>
  </si>
  <si>
    <t>ENST00000328041|SLC24A3</t>
  </si>
  <si>
    <t>;PF01699</t>
  </si>
  <si>
    <t>MAY NOT BE FUNCTIONAL</t>
  </si>
  <si>
    <t>FGFR2 loses its kinase domain</t>
  </si>
  <si>
    <t>ICGC
2015</t>
  </si>
  <si>
    <t>Zou
2014</t>
  </si>
  <si>
    <t>Churi
2014</t>
  </si>
  <si>
    <t>Jiao
2013</t>
  </si>
  <si>
    <t>Simbolo
2014</t>
  </si>
  <si>
    <t>ND</t>
  </si>
  <si>
    <t>IDH1/2</t>
  </si>
  <si>
    <t>KRAS/NRAS</t>
  </si>
  <si>
    <t>RB1</t>
  </si>
  <si>
    <t>Japan</t>
  </si>
  <si>
    <t>China</t>
  </si>
  <si>
    <t>US</t>
  </si>
  <si>
    <t>N</t>
  </si>
  <si>
    <t>US/Can</t>
  </si>
  <si>
    <t>Reference</t>
  </si>
  <si>
    <t>Tert promoter</t>
  </si>
  <si>
    <t>ND = not done</t>
  </si>
  <si>
    <t>NA = not available</t>
  </si>
  <si>
    <t>&lt;1%</t>
  </si>
  <si>
    <t>TCGA</t>
  </si>
  <si>
    <t>iCCA Total</t>
  </si>
  <si>
    <t>PDAC TCGA</t>
  </si>
  <si>
    <t>HCC TCGA</t>
  </si>
  <si>
    <t>methylation</t>
  </si>
  <si>
    <t>methyl</t>
  </si>
  <si>
    <t>N329delinsFN</t>
  </si>
  <si>
    <t>F276C</t>
  </si>
  <si>
    <t>P99S</t>
  </si>
  <si>
    <t>DNA_methylaiton_cluster_k7</t>
  </si>
  <si>
    <t>Comments</t>
  </si>
  <si>
    <t>ACO2</t>
  </si>
  <si>
    <t>DLD</t>
  </si>
  <si>
    <t>FH</t>
  </si>
  <si>
    <t>IDH3A</t>
  </si>
  <si>
    <t>IDH3B</t>
  </si>
  <si>
    <t>MDH1</t>
  </si>
  <si>
    <t>MDH2</t>
  </si>
  <si>
    <t>SDHAF1</t>
  </si>
  <si>
    <t>SUCLG1</t>
  </si>
  <si>
    <t>SUCLG2</t>
  </si>
  <si>
    <t>TCA cycle enzyme</t>
  </si>
  <si>
    <t>Electron transport chain</t>
  </si>
  <si>
    <t>Mitochondrial ribosome</t>
  </si>
  <si>
    <t>Mitochondrial inner membrane translocase</t>
  </si>
  <si>
    <t>GOT1</t>
  </si>
  <si>
    <t>GOT2</t>
  </si>
  <si>
    <t>MTHFS</t>
  </si>
  <si>
    <t>GAMT</t>
  </si>
  <si>
    <t>MTFMT</t>
  </si>
  <si>
    <t>CBS</t>
  </si>
  <si>
    <t>MPST</t>
  </si>
  <si>
    <t>PSPH</t>
  </si>
  <si>
    <t>SHMT2</t>
  </si>
  <si>
    <t>GSS</t>
  </si>
  <si>
    <t>HBV Status - British Columbia</t>
  </si>
  <si>
    <t>HBV Status (RPM&gt;=1.0) - Broad</t>
  </si>
  <si>
    <t>percent leukocyte estimated from methylation</t>
  </si>
  <si>
    <t>Methylation</t>
  </si>
  <si>
    <t>Additional metabolic genes of interest</t>
  </si>
  <si>
    <t>Mitochondrial Gene List</t>
  </si>
  <si>
    <t>Mitochondrial Score</t>
  </si>
  <si>
    <t>lncRNA</t>
  </si>
  <si>
    <t>Male</t>
  </si>
  <si>
    <t>p.S1587X</t>
  </si>
  <si>
    <t>H-QG-W7-A93P-01A-12D-A46P-09</t>
  </si>
  <si>
    <t>H-QG-W7-A93P-11A-11D-A46P-09</t>
  </si>
  <si>
    <t>p.G889fs</t>
  </si>
  <si>
    <t>H-QG-4G-AAZG-01A-11D-A46P-09</t>
  </si>
  <si>
    <t>H-QG-4G-AAZG-10A-01D-A46P-09</t>
  </si>
  <si>
    <t>p.E1860X</t>
  </si>
  <si>
    <t>H-QG-5A-A8ZF-01A-12D-A46P-09</t>
  </si>
  <si>
    <t>H-QG-5A-A8ZF-10A-01D-A46P-09</t>
  </si>
  <si>
    <t>p.Y222fs</t>
  </si>
  <si>
    <t>H-QG-4G-AAZR-01A-11D-A46P-09</t>
  </si>
  <si>
    <t>H-QG-4G-AAZR-11A-11D-A46P-09</t>
  </si>
  <si>
    <t>p.Y1324fs</t>
  </si>
  <si>
    <t>H-QG-ZH-A8Y7-01A-21D-A46P-09</t>
  </si>
  <si>
    <t>H-QG-ZH-A8Y7-10A-01D-A46P-09</t>
  </si>
  <si>
    <t>p.A1517fs</t>
  </si>
  <si>
    <t>H-QG-5A-A8ZG-01A-11D-A46P-09</t>
  </si>
  <si>
    <t>H-QG-5A-A8ZG-10A-01D-A46P-09</t>
  </si>
  <si>
    <t>p.1522_1522del</t>
  </si>
  <si>
    <t>AXIN1</t>
  </si>
  <si>
    <t>p.S493F</t>
  </si>
  <si>
    <t>p.R179W</t>
  </si>
  <si>
    <t>H-QG-4G-AAZF-01A-12D-A46P-09</t>
  </si>
  <si>
    <t>H-QG-4G-AAZF-11A-12D-A46P-09</t>
  </si>
  <si>
    <t>p.G466A</t>
  </si>
  <si>
    <t>p.P367P</t>
  </si>
  <si>
    <t>Silent</t>
  </si>
  <si>
    <t>H-QG-ZK-AAYZ-01A-12D-A46P-09</t>
  </si>
  <si>
    <t>H-QG-ZK-AAYZ-10A-01D-A46P-09</t>
  </si>
  <si>
    <t>p.E1126K</t>
  </si>
  <si>
    <t>p.254_255del</t>
  </si>
  <si>
    <t>H-QG-W6-AA0T-01A-31D-A46P-09</t>
  </si>
  <si>
    <t>H-QG-W6-AA0T-10A-01D-A46P-09</t>
  </si>
  <si>
    <t>p.Y337N</t>
  </si>
  <si>
    <t>H-QG-W5-AA2K-01A-11D-A46P-09</t>
  </si>
  <si>
    <t>H-QG-W5-AA2K-10A-01D-A46P-09</t>
  </si>
  <si>
    <t>p.E769X</t>
  </si>
  <si>
    <t>p.111_118del</t>
  </si>
  <si>
    <t>p.G123E</t>
  </si>
  <si>
    <t>H-QG-ZH-A8Y3-01A-11D-A46P-09</t>
  </si>
  <si>
    <t>H-QG-ZH-A8Y3-10A-01D-A46P-09</t>
  </si>
  <si>
    <t>p.S31S</t>
  </si>
  <si>
    <t>p.E979K</t>
  </si>
  <si>
    <t>H-QG-W7-A93O-01A-31D-A46P-09</t>
  </si>
  <si>
    <t>H-QG-W7-A93O-11A-11D-A46P-09</t>
  </si>
  <si>
    <t>p.G12D</t>
  </si>
  <si>
    <t>H-QG-W5-AA2M-01A-11D-A46P-09</t>
  </si>
  <si>
    <t>H-QG-W5-AA2M-10A-01D-A46P-09</t>
  </si>
  <si>
    <t>p.G972E</t>
  </si>
  <si>
    <t>p.R1306X</t>
  </si>
  <si>
    <t>p.Q2234X</t>
  </si>
  <si>
    <t>p.1030_1035del</t>
  </si>
  <si>
    <t>p.Y134X</t>
  </si>
  <si>
    <t>p.R93Q</t>
  </si>
  <si>
    <t>SMAD4</t>
  </si>
  <si>
    <t>p.399_404del</t>
  </si>
  <si>
    <t>p.M237I</t>
  </si>
  <si>
    <t>p.G279E</t>
  </si>
  <si>
    <t>p.F341fs</t>
  </si>
  <si>
    <t>Hugo Symbol</t>
  </si>
  <si>
    <t>Amino Acid Change</t>
  </si>
  <si>
    <t>Variant Classification</t>
  </si>
  <si>
    <t>Tumor Sample Barcode</t>
  </si>
  <si>
    <t>Matched Normal Sample Barcode</t>
  </si>
  <si>
    <t>Validation Status</t>
  </si>
  <si>
    <t xml:space="preserve">Tumor Total Coverage </t>
  </si>
  <si>
    <t xml:space="preserve">Tumor Variant Coverage </t>
  </si>
  <si>
    <t xml:space="preserve">Tumor Allelic Frequency </t>
  </si>
  <si>
    <t xml:space="preserve">Normal Total Coverage </t>
  </si>
  <si>
    <t xml:space="preserve">Normal Variant Coverage </t>
  </si>
  <si>
    <t xml:space="preserve">Normal Allelic Frequency </t>
  </si>
  <si>
    <t>APCS</t>
  </si>
  <si>
    <t>CRP</t>
  </si>
  <si>
    <t>SERPINA6</t>
  </si>
  <si>
    <t>TM4SF5</t>
  </si>
  <si>
    <t>HNF4A</t>
  </si>
  <si>
    <t>SERPINA1</t>
  </si>
  <si>
    <t>HABP2</t>
  </si>
  <si>
    <t>UGT2B15</t>
  </si>
  <si>
    <t>BAAT</t>
  </si>
  <si>
    <t>NR0B2</t>
  </si>
  <si>
    <t>TM4SF4</t>
  </si>
  <si>
    <t>A1CF</t>
  </si>
  <si>
    <t>ACMSD</t>
  </si>
  <si>
    <t>ITIH2</t>
  </si>
  <si>
    <t>CYP2C18</t>
  </si>
  <si>
    <t>HSD17B2</t>
  </si>
  <si>
    <t>ASGR2</t>
  </si>
  <si>
    <t>GPX2</t>
  </si>
  <si>
    <t>NR1H4</t>
  </si>
  <si>
    <t>FOXA2</t>
  </si>
  <si>
    <t>RTP3</t>
  </si>
  <si>
    <t>XDH</t>
  </si>
  <si>
    <t>FOXA3</t>
  </si>
  <si>
    <t>FAM99B</t>
  </si>
  <si>
    <t>HGD</t>
  </si>
  <si>
    <t>LRG1</t>
  </si>
  <si>
    <t>INHBE</t>
  </si>
  <si>
    <t>C8G</t>
  </si>
  <si>
    <t>SLC28A1</t>
  </si>
  <si>
    <t>GDF2</t>
  </si>
  <si>
    <t>FOXA1</t>
  </si>
  <si>
    <t>FAM99A</t>
  </si>
  <si>
    <t>HNF1A</t>
  </si>
  <si>
    <t>SLC30A10</t>
  </si>
  <si>
    <t>HPN</t>
  </si>
  <si>
    <t>PCSK9</t>
  </si>
  <si>
    <t>GJB1</t>
  </si>
  <si>
    <t>PLGLA</t>
  </si>
  <si>
    <t>TMPRSS6</t>
  </si>
  <si>
    <t>ABCC6P1</t>
  </si>
  <si>
    <t>EPO</t>
  </si>
  <si>
    <t>CYP3A5</t>
  </si>
  <si>
    <t>F5</t>
  </si>
  <si>
    <t>SLC27A2</t>
  </si>
  <si>
    <t>CLEC1B</t>
  </si>
  <si>
    <t>PNPLA3</t>
  </si>
  <si>
    <t>SEC14L4</t>
  </si>
  <si>
    <t>AGT</t>
  </si>
  <si>
    <t>MIA2</t>
  </si>
  <si>
    <t>MT1DP</t>
  </si>
  <si>
    <t>GOLT1A</t>
  </si>
  <si>
    <t>MST1P2</t>
  </si>
  <si>
    <t>ABCC6</t>
  </si>
  <si>
    <t>MT1B</t>
  </si>
  <si>
    <t>NPC1L1</t>
  </si>
  <si>
    <t>KRTAP5-6</t>
  </si>
  <si>
    <t>GLDC</t>
  </si>
  <si>
    <t>C5</t>
  </si>
  <si>
    <t>CFB</t>
  </si>
  <si>
    <t>C2orf72</t>
  </si>
  <si>
    <t>UGT2B11</t>
  </si>
  <si>
    <t>CXCL2</t>
  </si>
  <si>
    <t>DNAJC22</t>
  </si>
  <si>
    <t>METTL7B</t>
  </si>
  <si>
    <t>CYP4F11</t>
  </si>
  <si>
    <t>FAM169B</t>
  </si>
  <si>
    <t>SLC23A1</t>
  </si>
  <si>
    <t>TMEM105</t>
  </si>
  <si>
    <t>CFI</t>
  </si>
  <si>
    <t>ARSE</t>
  </si>
  <si>
    <t>C6orf123</t>
  </si>
  <si>
    <t>UNC5CL</t>
  </si>
  <si>
    <t>GLYCTK</t>
  </si>
  <si>
    <t>C3</t>
  </si>
  <si>
    <t>TNFSF14</t>
  </si>
  <si>
    <t>SLC17A9</t>
  </si>
  <si>
    <t>SGK2</t>
  </si>
  <si>
    <t>C4A</t>
  </si>
  <si>
    <t>NPBWR1</t>
  </si>
  <si>
    <t>COLEC11</t>
  </si>
  <si>
    <t>TMEM176A</t>
  </si>
  <si>
    <t>DMRTA1</t>
  </si>
  <si>
    <t>STEAP3</t>
  </si>
  <si>
    <t>TMEM176B</t>
  </si>
  <si>
    <t>SEBOX</t>
  </si>
  <si>
    <t>SLC16A13</t>
  </si>
  <si>
    <t>AKR7L</t>
  </si>
  <si>
    <t>FAM20A</t>
  </si>
  <si>
    <t>HRSP12</t>
  </si>
  <si>
    <t>DHODH</t>
  </si>
  <si>
    <t>HS3ST3B1</t>
  </si>
  <si>
    <t>GRB14</t>
  </si>
  <si>
    <t>PROX1</t>
  </si>
  <si>
    <t>ALDH4A1</t>
  </si>
  <si>
    <t>ST6GAL1</t>
  </si>
  <si>
    <t>SHMT1</t>
  </si>
  <si>
    <t>FMO5</t>
  </si>
  <si>
    <t>AKR1C2</t>
  </si>
  <si>
    <t>OSGIN1</t>
  </si>
  <si>
    <t>NNMT</t>
  </si>
  <si>
    <t>TECTB</t>
  </si>
  <si>
    <t>ASS1</t>
  </si>
  <si>
    <t>PC</t>
  </si>
  <si>
    <t>SLC25A15</t>
  </si>
  <si>
    <t>SEC16B</t>
  </si>
  <si>
    <t>LBX2</t>
  </si>
  <si>
    <t>SLC39A14</t>
  </si>
  <si>
    <t>PKD1L3</t>
  </si>
  <si>
    <t>XYLB</t>
  </si>
  <si>
    <t>TST</t>
  </si>
  <si>
    <t>SEC14L2</t>
  </si>
  <si>
    <t>CAPN12</t>
  </si>
  <si>
    <t>PPP2R1B</t>
  </si>
  <si>
    <t>DECR2</t>
  </si>
  <si>
    <t>CHRD</t>
  </si>
  <si>
    <t>SDSL</t>
  </si>
  <si>
    <t>CYB5A</t>
  </si>
  <si>
    <t>ASL</t>
  </si>
  <si>
    <t>ACOT4</t>
  </si>
  <si>
    <t>STARD10</t>
  </si>
  <si>
    <t>Fold-change vs median of 51 non-liver GTEx tissues</t>
  </si>
  <si>
    <t>TCGA Barcode</t>
  </si>
  <si>
    <t>TCGA-4G-AAZR</t>
  </si>
  <si>
    <t>TCGA-5A-A8ZF</t>
  </si>
  <si>
    <t>USA</t>
  </si>
  <si>
    <t>Female</t>
  </si>
  <si>
    <t>No Data</t>
  </si>
  <si>
    <t>TCGA-W5-AA2M</t>
  </si>
  <si>
    <t>TCGA-W7-A93P</t>
  </si>
  <si>
    <t>Australia</t>
  </si>
  <si>
    <t>Stage IIB</t>
  </si>
  <si>
    <t>TCGA-4G-AAZG</t>
  </si>
  <si>
    <t>TCGA-4G-AAZF</t>
  </si>
  <si>
    <t>TCGA-5A-A8ZG</t>
  </si>
  <si>
    <t>TCGA-W5-AA2J</t>
  </si>
  <si>
    <t>TCGA-W5-AA2K</t>
  </si>
  <si>
    <t>TCGA-W6-AA0T</t>
  </si>
  <si>
    <t>TCGA-W7-A93N</t>
  </si>
  <si>
    <t>TCGA-W7-A93O</t>
  </si>
  <si>
    <t>TCGA-ZH-A8Y3</t>
  </si>
  <si>
    <t>TCGA-ZH-A8Y7</t>
  </si>
  <si>
    <t>TCGA-ZK-AAYZ</t>
  </si>
  <si>
    <t>Diabetes mellitus</t>
  </si>
  <si>
    <t>Primary sclerosing cholangitis</t>
  </si>
  <si>
    <t>Smoking|Other</t>
  </si>
  <si>
    <t>T4</t>
  </si>
  <si>
    <t>6 - Established Cirrhosis</t>
  </si>
  <si>
    <t>Deceased 28</t>
  </si>
  <si>
    <t>Deceased 833</t>
  </si>
  <si>
    <t>Deceased 540</t>
  </si>
  <si>
    <t>Deceased 561</t>
  </si>
  <si>
    <t>Extra 15 samples</t>
  </si>
  <si>
    <t>Extra 15</t>
  </si>
  <si>
    <t>TCGA 38</t>
  </si>
  <si>
    <t>Sample Set</t>
  </si>
  <si>
    <t>111_118del</t>
  </si>
  <si>
    <t>E769X</t>
  </si>
  <si>
    <t>G466A</t>
  </si>
  <si>
    <t>G12D</t>
  </si>
  <si>
    <t>Del</t>
  </si>
  <si>
    <t>DNA hypermethylation frequency</t>
  </si>
  <si>
    <t>Spearman rho vs Mitochondrial score</t>
  </si>
  <si>
    <t>FTX</t>
  </si>
  <si>
    <t>AC07304625</t>
  </si>
  <si>
    <t>EBLN3</t>
  </si>
  <si>
    <t>AC1380352</t>
  </si>
  <si>
    <t>LINC00657</t>
  </si>
  <si>
    <t>BMS1P4</t>
  </si>
  <si>
    <t>RP11-159G95</t>
  </si>
  <si>
    <t>RP11-274B2114</t>
  </si>
  <si>
    <t>LL0XNC01-237H12</t>
  </si>
  <si>
    <t>RP11-206L102</t>
  </si>
  <si>
    <t>RP11-359J142</t>
  </si>
  <si>
    <t>RP11-464F91</t>
  </si>
  <si>
    <t>RP11-144G612</t>
  </si>
  <si>
    <t>RP11-48B33</t>
  </si>
  <si>
    <t>RP11-478C192</t>
  </si>
  <si>
    <t>RP5-1061H204</t>
  </si>
  <si>
    <t>LL22NC03-2H84</t>
  </si>
  <si>
    <t>RP3-430N811</t>
  </si>
  <si>
    <t>GS1-124K53</t>
  </si>
  <si>
    <t>RP11-33B14</t>
  </si>
  <si>
    <t>RP11-104H157</t>
  </si>
  <si>
    <t>Spearman rho vs Chromatin Modifier score</t>
  </si>
  <si>
    <t>lncRNAs that correlate with the Chromatin Modifier signature</t>
  </si>
  <si>
    <t>Pathway down in mRNA Cluster 1</t>
  </si>
  <si>
    <t>Pathway up in mRNA Cluster 1</t>
  </si>
  <si>
    <t>Genes</t>
  </si>
  <si>
    <t>Supplemental Table 1, related to Figure 1. CHOL sample info</t>
  </si>
  <si>
    <t>Supplemental Table 2, related to Figure 1. Mutation information for 43 genes that were selected for targeted deep sequencing validation. Included are mutations found only in the validation and not in the discovery whole exome sequencing.</t>
  </si>
  <si>
    <t>Supplemental Table 3, related to Figure 1. List of fusions identified by mutltple algorithms. Assessments are made based on both the quality of supporting data and the likelihood for functional impact</t>
  </si>
  <si>
    <t>Supplemental Table 4, related to Figure 2. List of 387 liver-specific genes filtered out of the mRNA list prior to PCA. List was generated from GTEx normal tissue expression data, with the criteria being that liver had to be the organ that the gene was most highly expressed in, and had to be expressed &gt;10-fold higher in the liver than the median of the 51 non-liver tissues.</t>
  </si>
  <si>
    <t>Supplemental Table 5, related to Figure 3. Novel genes sets appended to the MSigDb c5 set for GSEA. These were generated through knowledge-based assessments</t>
  </si>
  <si>
    <t>Supplemental Table 6, related to Figure 3. GSEA results identify genes differentially regulated in mRNA Cluster 1 vs 2+3.</t>
  </si>
  <si>
    <t>Supplemental Table 7, related to Figure 3. Gene lists for chromatin modifiers and oxidative phosphorylation genes. Generated by combined statistical correlation and knowledge-based assessment. Genes mutated in CCA are highlighted in yellow; genes whose products are known to be inhibited by 2HG are highlighted in green</t>
  </si>
  <si>
    <t>Supplemental Table 8, related to Figure 6. Meta-analysis of published intrahepatic cholangiocarcinoma mutation rates for selected genes. PDAC and HCC TCGA frequencies are listed for comparison. Outliers are noted in red.</t>
  </si>
  <si>
    <t>Supplemental Table 9, related to Figure 6. Freeze list of cholangiocarcinoma, pancreatic adenocarcinoma, and hepatocellular carcinoma TCGA samples and associated characteristics including unsupervised cluster memberships.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</si>
</sst>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
  </numFmts>
  <fonts count="35" x14ac:knownFonts="1">
    <font>
      <sz val="11"/>
      <color theme="1"/>
      <name val="Calibri"/>
      <family val="2"/>
      <scheme val="minor"/>
    </font>
    <font>
      <sz val="11"/>
      <color rgb="FFFF0000"/>
      <name val="Calibri"/>
      <family val="2"/>
      <scheme val="minor"/>
    </font>
    <font>
      <b/>
      <sz val="11"/>
      <color theme="1"/>
      <name val="Calibri"/>
      <family val="2"/>
      <scheme val="minor"/>
    </font>
    <font>
      <sz val="10"/>
      <color indexed="8"/>
      <name val="Arial"/>
      <family val="2"/>
    </font>
    <font>
      <b/>
      <sz val="11"/>
      <color indexed="8"/>
      <name val="Calibri"/>
      <family val="2"/>
    </font>
    <font>
      <sz val="11"/>
      <color indexed="8"/>
      <name val="Calibri"/>
      <family val="2"/>
    </font>
    <font>
      <b/>
      <sz val="11"/>
      <name val="Calibri"/>
      <family val="2"/>
      <scheme val="minor"/>
    </font>
    <font>
      <b/>
      <sz val="11"/>
      <color rgb="FF000000"/>
      <name val="Calibri"/>
      <family val="2"/>
      <scheme val="minor"/>
    </font>
    <font>
      <sz val="11"/>
      <name val="Calibri"/>
      <family val="2"/>
      <scheme val="minor"/>
    </font>
    <font>
      <b/>
      <sz val="11"/>
      <color rgb="FFFF0000"/>
      <name val="Calibri"/>
      <family val="2"/>
      <scheme val="minor"/>
    </font>
    <font>
      <sz val="11"/>
      <color rgb="FF0066FF"/>
      <name val="Calibri"/>
      <family val="2"/>
      <scheme val="minor"/>
    </font>
    <font>
      <b/>
      <sz val="11"/>
      <color rgb="FF0070C0"/>
      <name val="Calibri"/>
      <family val="2"/>
      <scheme val="minor"/>
    </font>
    <font>
      <b/>
      <sz val="11"/>
      <color rgb="FFFF0000"/>
      <name val="Calibri"/>
      <family val="2"/>
    </font>
    <font>
      <b/>
      <sz val="11"/>
      <color rgb="FF0070C0"/>
      <name val="Calibri"/>
      <family val="2"/>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theme="6"/>
      <name val="Calibri"/>
      <family val="2"/>
      <scheme val="minor"/>
    </font>
    <font>
      <sz val="11"/>
      <color theme="5"/>
      <name val="Calibri"/>
      <family val="2"/>
      <scheme val="minor"/>
    </font>
    <font>
      <b/>
      <sz val="11"/>
      <name val="Calibri"/>
      <family val="2"/>
    </font>
    <font>
      <b/>
      <sz val="11"/>
      <color rgb="FF0000FF"/>
      <name val="Calibri"/>
      <family val="2"/>
      <scheme val="minor"/>
    </font>
    <font>
      <b/>
      <sz val="11"/>
      <color theme="1"/>
      <name val="Calibri"/>
      <family val="2"/>
    </font>
    <font>
      <sz val="11"/>
      <color theme="1"/>
      <name val="Calibri"/>
      <family val="2"/>
    </font>
  </fonts>
  <fills count="65">
    <fill>
      <patternFill patternType="none"/>
    </fill>
    <fill>
      <patternFill patternType="gray125"/>
    </fill>
    <fill>
      <patternFill patternType="solid">
        <fgColor theme="5"/>
        <bgColor indexed="64"/>
      </patternFill>
    </fill>
    <fill>
      <patternFill patternType="solid">
        <fgColor rgb="FF99CC00"/>
        <bgColor indexed="64"/>
      </patternFill>
    </fill>
    <fill>
      <patternFill patternType="solid">
        <fgColor indexed="41"/>
        <bgColor indexed="64"/>
      </patternFill>
    </fill>
    <fill>
      <patternFill patternType="solid">
        <fgColor theme="8"/>
        <bgColor indexed="64"/>
      </patternFill>
    </fill>
    <fill>
      <patternFill patternType="solid">
        <fgColor theme="7"/>
        <bgColor indexed="64"/>
      </patternFill>
    </fill>
    <fill>
      <patternFill patternType="solid">
        <fgColor indexed="47"/>
        <bgColor indexed="64"/>
      </patternFill>
    </fill>
    <fill>
      <patternFill patternType="solid">
        <fgColor indexed="40"/>
        <bgColor indexed="64"/>
      </patternFill>
    </fill>
    <fill>
      <patternFill patternType="solid">
        <fgColor indexed="44"/>
        <bgColor indexed="64"/>
      </patternFill>
    </fill>
    <fill>
      <patternFill patternType="solid">
        <fgColor theme="3"/>
        <bgColor indexed="64"/>
      </patternFill>
    </fill>
    <fill>
      <patternFill patternType="solid">
        <fgColor theme="3" tint="0.79998168889431442"/>
        <bgColor indexed="64"/>
      </patternFill>
    </fill>
    <fill>
      <patternFill patternType="solid">
        <fgColor indexed="15"/>
        <bgColor indexed="64"/>
      </patternFill>
    </fill>
    <fill>
      <patternFill patternType="solid">
        <fgColor rgb="FFFFFF00"/>
        <bgColor indexed="64"/>
      </patternFill>
    </fill>
    <fill>
      <patternFill patternType="solid">
        <fgColor theme="9"/>
        <bgColor indexed="64"/>
      </patternFill>
    </fill>
    <fill>
      <patternFill patternType="solid">
        <fgColor theme="6"/>
        <bgColor indexed="64"/>
      </patternFill>
    </fill>
    <fill>
      <patternFill patternType="solid">
        <fgColor rgb="FFCCCCFF"/>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59999389629810485"/>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9" tint="-9.9978637043366805E-2"/>
        <bgColor indexed="64"/>
      </patternFill>
    </fill>
    <fill>
      <patternFill patternType="solid">
        <fgColor theme="8" tint="0.59999389629810485"/>
        <bgColor indexed="64"/>
      </patternFill>
    </fill>
    <fill>
      <patternFill patternType="solid">
        <fgColor theme="9"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s>
  <borders count="15">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thin">
        <color indexed="22"/>
      </left>
      <right/>
      <top style="thin">
        <color indexed="22"/>
      </top>
      <bottom style="thin">
        <color indexed="22"/>
      </bottom>
      <diagonal/>
    </border>
  </borders>
  <cellStyleXfs count="46">
    <xf numFmtId="0" fontId="0" fillId="0" borderId="0"/>
    <xf numFmtId="0" fontId="3" fillId="0" borderId="0"/>
    <xf numFmtId="0" fontId="3" fillId="0" borderId="0"/>
    <xf numFmtId="0" fontId="3" fillId="0" borderId="0"/>
    <xf numFmtId="0" fontId="3" fillId="0" borderId="0"/>
    <xf numFmtId="0" fontId="15" fillId="0" borderId="0" applyNumberFormat="0" applyFill="0" applyBorder="0" applyAlignment="0" applyProtection="0"/>
    <xf numFmtId="0" fontId="16" fillId="0" borderId="2"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0" applyNumberFormat="0" applyFill="0" applyBorder="0" applyAlignment="0" applyProtection="0"/>
    <xf numFmtId="0" fontId="19" fillId="30" borderId="0" applyNumberFormat="0" applyBorder="0" applyAlignment="0" applyProtection="0"/>
    <xf numFmtId="0" fontId="20" fillId="31" borderId="0" applyNumberFormat="0" applyBorder="0" applyAlignment="0" applyProtection="0"/>
    <xf numFmtId="0" fontId="21" fillId="32" borderId="0" applyNumberFormat="0" applyBorder="0" applyAlignment="0" applyProtection="0"/>
    <xf numFmtId="0" fontId="22" fillId="33" borderId="5" applyNumberFormat="0" applyAlignment="0" applyProtection="0"/>
    <xf numFmtId="0" fontId="23" fillId="34" borderId="6" applyNumberFormat="0" applyAlignment="0" applyProtection="0"/>
    <xf numFmtId="0" fontId="24" fillId="34" borderId="5" applyNumberFormat="0" applyAlignment="0" applyProtection="0"/>
    <xf numFmtId="0" fontId="25" fillId="0" borderId="7" applyNumberFormat="0" applyFill="0" applyAlignment="0" applyProtection="0"/>
    <xf numFmtId="0" fontId="26" fillId="35" borderId="8" applyNumberFormat="0" applyAlignment="0" applyProtection="0"/>
    <xf numFmtId="0" fontId="1" fillId="0" borderId="0" applyNumberFormat="0" applyFill="0" applyBorder="0" applyAlignment="0" applyProtection="0"/>
    <xf numFmtId="0" fontId="14" fillId="36" borderId="9" applyNumberFormat="0" applyFont="0" applyAlignment="0" applyProtection="0"/>
    <xf numFmtId="0" fontId="27" fillId="0" borderId="0" applyNumberFormat="0" applyFill="0" applyBorder="0" applyAlignment="0" applyProtection="0"/>
    <xf numFmtId="0" fontId="2" fillId="0" borderId="10" applyNumberFormat="0" applyFill="0" applyAlignment="0" applyProtection="0"/>
    <xf numFmtId="0" fontId="28" fillId="37"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28" fillId="44" borderId="0" applyNumberFormat="0" applyBorder="0" applyAlignment="0" applyProtection="0"/>
    <xf numFmtId="0" fontId="28" fillId="45"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28" fillId="52" borderId="0" applyNumberFormat="0" applyBorder="0" applyAlignment="0" applyProtection="0"/>
    <xf numFmtId="0" fontId="28"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28" fillId="56" borderId="0" applyNumberFormat="0" applyBorder="0" applyAlignment="0" applyProtection="0"/>
    <xf numFmtId="0" fontId="28"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28" fillId="60" borderId="0" applyNumberFormat="0" applyBorder="0" applyAlignment="0" applyProtection="0"/>
  </cellStyleXfs>
  <cellXfs count="240">
    <xf numFmtId="0" fontId="0" fillId="0" borderId="0" xfId="0"/>
    <xf numFmtId="0" fontId="2" fillId="0" borderId="0" xfId="0" applyFont="1" applyBorder="1"/>
    <xf numFmtId="0" fontId="0" fillId="0" borderId="0" xfId="0" applyBorder="1"/>
    <xf numFmtId="2" fontId="0" fillId="0" borderId="0" xfId="0" applyNumberFormat="1" applyFill="1" applyBorder="1" applyAlignment="1">
      <alignment horizontal="center"/>
    </xf>
    <xf numFmtId="0" fontId="0" fillId="0" borderId="0" xfId="0" applyBorder="1" applyAlignment="1">
      <alignment horizontal="center"/>
    </xf>
    <xf numFmtId="0" fontId="0" fillId="0" borderId="0" xfId="0" applyFill="1" applyBorder="1"/>
    <xf numFmtId="0" fontId="0" fillId="0" borderId="0" xfId="0" applyNumberFormat="1" applyAlignment="1">
      <alignment horizontal="center"/>
    </xf>
    <xf numFmtId="0" fontId="0" fillId="0" borderId="0" xfId="0" applyBorder="1" applyAlignment="1">
      <alignment wrapText="1"/>
    </xf>
    <xf numFmtId="2" fontId="0" fillId="0" borderId="0" xfId="0" applyNumberFormat="1" applyFill="1" applyBorder="1" applyAlignment="1">
      <alignment horizontal="center" wrapText="1"/>
    </xf>
    <xf numFmtId="0" fontId="0" fillId="0" borderId="0" xfId="0" applyBorder="1" applyAlignment="1">
      <alignment horizontal="center" wrapText="1"/>
    </xf>
    <xf numFmtId="0" fontId="2" fillId="0" borderId="0" xfId="0" applyFont="1" applyFill="1" applyBorder="1" applyAlignment="1">
      <alignment horizontal="center" wrapText="1"/>
    </xf>
    <xf numFmtId="0" fontId="2" fillId="0" borderId="0" xfId="0" applyFont="1" applyBorder="1" applyAlignment="1">
      <alignment wrapText="1"/>
    </xf>
    <xf numFmtId="0" fontId="4" fillId="0" borderId="0" xfId="2" applyFont="1" applyFill="1" applyBorder="1" applyAlignment="1">
      <alignment horizontal="center" wrapText="1"/>
    </xf>
    <xf numFmtId="0" fontId="0" fillId="3" borderId="0" xfId="0" applyFill="1" applyBorder="1"/>
    <xf numFmtId="2" fontId="0" fillId="4" borderId="0" xfId="0" applyNumberFormat="1" applyFill="1" applyBorder="1" applyAlignment="1">
      <alignment horizontal="center"/>
    </xf>
    <xf numFmtId="0" fontId="3" fillId="0" borderId="0" xfId="1" applyFill="1" applyBorder="1" applyAlignment="1"/>
    <xf numFmtId="0" fontId="5" fillId="7" borderId="0" xfId="2" applyFont="1" applyFill="1" applyBorder="1" applyAlignment="1">
      <alignment horizontal="right"/>
    </xf>
    <xf numFmtId="0" fontId="5" fillId="0" borderId="0" xfId="2" applyFont="1" applyFill="1" applyBorder="1" applyAlignment="1">
      <alignment horizontal="right"/>
    </xf>
    <xf numFmtId="2" fontId="0" fillId="8" borderId="0" xfId="0" applyNumberFormat="1" applyFill="1" applyBorder="1" applyAlignment="1">
      <alignment horizontal="center"/>
    </xf>
    <xf numFmtId="2" fontId="0" fillId="9" borderId="0" xfId="0" applyNumberFormat="1" applyFill="1" applyBorder="1" applyAlignment="1">
      <alignment horizontal="center"/>
    </xf>
    <xf numFmtId="0" fontId="5" fillId="4" borderId="0" xfId="2" applyFont="1" applyFill="1" applyBorder="1" applyAlignment="1">
      <alignment horizontal="right"/>
    </xf>
    <xf numFmtId="0" fontId="5" fillId="9" borderId="0" xfId="2" applyFont="1" applyFill="1" applyBorder="1" applyAlignment="1">
      <alignment horizontal="right"/>
    </xf>
    <xf numFmtId="0" fontId="5" fillId="8" borderId="0" xfId="2" applyFont="1" applyFill="1" applyBorder="1" applyAlignment="1">
      <alignment horizontal="right"/>
    </xf>
    <xf numFmtId="0" fontId="5" fillId="12" borderId="0" xfId="2" applyFont="1" applyFill="1" applyBorder="1" applyAlignment="1">
      <alignment horizontal="right"/>
    </xf>
    <xf numFmtId="0" fontId="0" fillId="13" borderId="0" xfId="0" applyFill="1" applyBorder="1"/>
    <xf numFmtId="2" fontId="0" fillId="12" borderId="0" xfId="0" applyNumberFormat="1" applyFill="1" applyBorder="1" applyAlignment="1">
      <alignment horizontal="center"/>
    </xf>
    <xf numFmtId="0" fontId="0" fillId="12" borderId="0" xfId="0" applyFill="1" applyBorder="1" applyAlignment="1">
      <alignment horizontal="center"/>
    </xf>
    <xf numFmtId="0" fontId="0" fillId="16" borderId="0" xfId="0" applyFill="1" applyBorder="1"/>
    <xf numFmtId="0" fontId="2" fillId="0" borderId="0" xfId="0" applyFont="1" applyBorder="1" applyAlignment="1"/>
    <xf numFmtId="0" fontId="0" fillId="0" borderId="0" xfId="0" applyBorder="1" applyAlignment="1"/>
    <xf numFmtId="0" fontId="2" fillId="17" borderId="0" xfId="0" applyFont="1" applyFill="1" applyBorder="1" applyAlignment="1"/>
    <xf numFmtId="0" fontId="2" fillId="18" borderId="0" xfId="0" applyFont="1" applyFill="1" applyBorder="1" applyAlignment="1"/>
    <xf numFmtId="0" fontId="2" fillId="19" borderId="0" xfId="0" applyFont="1" applyFill="1" applyBorder="1" applyAlignment="1"/>
    <xf numFmtId="0" fontId="2" fillId="6" borderId="0" xfId="0" applyFont="1" applyFill="1" applyBorder="1" applyAlignment="1"/>
    <xf numFmtId="0" fontId="2" fillId="2" borderId="0" xfId="0" applyFont="1" applyFill="1" applyBorder="1" applyAlignment="1"/>
    <xf numFmtId="0" fontId="2" fillId="20" borderId="0" xfId="0" applyFont="1" applyFill="1" applyBorder="1" applyAlignment="1"/>
    <xf numFmtId="0" fontId="2" fillId="16" borderId="0" xfId="0" applyFont="1" applyFill="1" applyBorder="1" applyAlignment="1"/>
    <xf numFmtId="0" fontId="2" fillId="13" borderId="0" xfId="0" applyFont="1" applyFill="1" applyBorder="1" applyAlignment="1"/>
    <xf numFmtId="0" fontId="2" fillId="11" borderId="0" xfId="0" applyFont="1" applyFill="1" applyBorder="1" applyAlignment="1"/>
    <xf numFmtId="0" fontId="2" fillId="22" borderId="0" xfId="0" applyFont="1" applyFill="1" applyBorder="1"/>
    <xf numFmtId="0" fontId="2" fillId="23" borderId="0" xfId="0" applyFont="1" applyFill="1" applyBorder="1" applyAlignment="1"/>
    <xf numFmtId="0" fontId="6" fillId="2" borderId="0" xfId="0" applyFont="1" applyFill="1" applyBorder="1" applyAlignment="1">
      <alignment horizontal="left"/>
    </xf>
    <xf numFmtId="0" fontId="7" fillId="11" borderId="0" xfId="0" applyFont="1" applyFill="1" applyBorder="1"/>
    <xf numFmtId="0" fontId="2" fillId="22" borderId="0" xfId="0" applyFont="1" applyFill="1" applyAlignment="1">
      <alignment horizontal="left"/>
    </xf>
    <xf numFmtId="0" fontId="6" fillId="22" borderId="0" xfId="0" applyFont="1" applyFill="1" applyAlignment="1">
      <alignment horizontal="left"/>
    </xf>
    <xf numFmtId="0" fontId="0" fillId="0" borderId="0" xfId="0" applyFill="1" applyBorder="1" applyAlignment="1"/>
    <xf numFmtId="0" fontId="0" fillId="10" borderId="0" xfId="0" applyFill="1" applyBorder="1"/>
    <xf numFmtId="0" fontId="0" fillId="5" borderId="0" xfId="0" applyFill="1" applyBorder="1"/>
    <xf numFmtId="0" fontId="0" fillId="5" borderId="0" xfId="0" applyFill="1" applyBorder="1" applyAlignment="1"/>
    <xf numFmtId="1" fontId="0" fillId="0" borderId="0" xfId="0" applyNumberFormat="1" applyFill="1" applyBorder="1" applyAlignment="1">
      <alignment horizontal="center"/>
    </xf>
    <xf numFmtId="1" fontId="8" fillId="0" borderId="0" xfId="0" applyNumberFormat="1" applyFont="1" applyFill="1" applyBorder="1" applyAlignment="1">
      <alignment horizontal="right"/>
    </xf>
    <xf numFmtId="0" fontId="2" fillId="0" borderId="0" xfId="0" applyFont="1" applyFill="1" applyBorder="1" applyAlignment="1"/>
    <xf numFmtId="0" fontId="0" fillId="0" borderId="0" xfId="0" applyFill="1" applyBorder="1" applyAlignment="1">
      <alignment horizontal="center"/>
    </xf>
    <xf numFmtId="0" fontId="0" fillId="8" borderId="0" xfId="0" applyFill="1" applyBorder="1" applyAlignment="1"/>
    <xf numFmtId="0" fontId="0" fillId="0" borderId="0" xfId="0" applyFont="1" applyFill="1" applyBorder="1" applyAlignment="1"/>
    <xf numFmtId="0" fontId="0" fillId="17" borderId="0" xfId="0" applyFill="1" applyBorder="1" applyAlignment="1"/>
    <xf numFmtId="0" fontId="0" fillId="2" borderId="0" xfId="0" applyFill="1" applyBorder="1"/>
    <xf numFmtId="164" fontId="0" fillId="0" borderId="0" xfId="0" applyNumberFormat="1" applyFill="1"/>
    <xf numFmtId="164" fontId="0" fillId="23" borderId="0" xfId="0" applyNumberFormat="1" applyFill="1"/>
    <xf numFmtId="164" fontId="8" fillId="23" borderId="0" xfId="0" applyNumberFormat="1" applyFont="1" applyFill="1"/>
    <xf numFmtId="164" fontId="0" fillId="24" borderId="0" xfId="0" applyNumberFormat="1" applyFill="1"/>
    <xf numFmtId="0" fontId="0" fillId="0" borderId="0" xfId="0" applyFill="1"/>
    <xf numFmtId="0" fontId="0" fillId="14" borderId="0" xfId="0" applyFill="1" applyBorder="1"/>
    <xf numFmtId="0" fontId="0" fillId="14" borderId="0" xfId="0" applyFill="1" applyBorder="1" applyAlignment="1"/>
    <xf numFmtId="0" fontId="9" fillId="0" borderId="0" xfId="0" applyFont="1" applyFill="1" applyBorder="1" applyAlignment="1"/>
    <xf numFmtId="0" fontId="0" fillId="4" borderId="0" xfId="0" applyFill="1" applyBorder="1" applyAlignment="1"/>
    <xf numFmtId="164" fontId="8" fillId="0" borderId="0" xfId="0" applyNumberFormat="1" applyFont="1" applyFill="1"/>
    <xf numFmtId="0" fontId="6" fillId="0" borderId="0" xfId="0" applyFont="1" applyFill="1" applyBorder="1" applyAlignment="1"/>
    <xf numFmtId="0" fontId="6" fillId="21" borderId="0" xfId="0" applyFont="1" applyFill="1" applyBorder="1" applyAlignment="1"/>
    <xf numFmtId="0" fontId="2" fillId="25" borderId="0" xfId="0" applyFont="1" applyFill="1" applyBorder="1" applyAlignment="1"/>
    <xf numFmtId="0" fontId="0" fillId="17" borderId="0" xfId="0" applyFont="1" applyFill="1" applyBorder="1" applyAlignment="1"/>
    <xf numFmtId="0" fontId="0" fillId="13" borderId="0" xfId="0" applyFill="1" applyBorder="1" applyAlignment="1"/>
    <xf numFmtId="0" fontId="0" fillId="0" borderId="0" xfId="0" applyFont="1" applyBorder="1" applyAlignment="1"/>
    <xf numFmtId="164" fontId="8" fillId="26" borderId="0" xfId="0" applyNumberFormat="1" applyFont="1" applyFill="1"/>
    <xf numFmtId="0" fontId="0" fillId="6" borderId="0" xfId="0" applyFill="1" applyBorder="1"/>
    <xf numFmtId="0" fontId="0" fillId="6" borderId="0" xfId="0" applyFill="1" applyBorder="1" applyAlignment="1"/>
    <xf numFmtId="0" fontId="6" fillId="15" borderId="0" xfId="0" applyFont="1" applyFill="1" applyBorder="1" applyAlignment="1"/>
    <xf numFmtId="0" fontId="0" fillId="27" borderId="0" xfId="0" applyFill="1" applyBorder="1" applyAlignment="1"/>
    <xf numFmtId="0" fontId="0" fillId="9" borderId="0" xfId="0" applyFill="1" applyBorder="1" applyAlignment="1"/>
    <xf numFmtId="164" fontId="0" fillId="26" borderId="0" xfId="0" applyNumberFormat="1" applyFill="1"/>
    <xf numFmtId="0" fontId="6" fillId="5" borderId="0" xfId="0" applyFont="1" applyFill="1" applyBorder="1" applyAlignment="1"/>
    <xf numFmtId="0" fontId="6" fillId="6" borderId="0" xfId="0" applyFont="1" applyFill="1" applyBorder="1" applyAlignment="1"/>
    <xf numFmtId="0" fontId="10" fillId="0" borderId="0" xfId="0" applyFont="1" applyFill="1" applyBorder="1" applyAlignment="1"/>
    <xf numFmtId="0" fontId="2" fillId="28" borderId="0" xfId="0" applyFont="1" applyFill="1" applyBorder="1" applyAlignment="1"/>
    <xf numFmtId="0" fontId="0" fillId="21" borderId="0" xfId="0" applyFill="1" applyBorder="1"/>
    <xf numFmtId="0" fontId="8" fillId="0" borderId="0" xfId="0" applyFont="1" applyFill="1" applyBorder="1" applyAlignment="1"/>
    <xf numFmtId="164" fontId="8" fillId="24" borderId="0" xfId="0" applyNumberFormat="1" applyFont="1" applyFill="1"/>
    <xf numFmtId="0" fontId="0" fillId="29" borderId="0" xfId="0" applyFill="1" applyBorder="1"/>
    <xf numFmtId="0" fontId="0" fillId="0" borderId="0" xfId="0" applyFill="1" applyBorder="1" applyAlignment="1">
      <alignment wrapText="1"/>
    </xf>
    <xf numFmtId="0" fontId="2" fillId="0" borderId="0" xfId="0" applyFont="1" applyFill="1" applyBorder="1"/>
    <xf numFmtId="0" fontId="0" fillId="17" borderId="0" xfId="0" applyFill="1" applyBorder="1"/>
    <xf numFmtId="0" fontId="8" fillId="0" borderId="0" xfId="0" applyFont="1" applyFill="1" applyBorder="1" applyAlignment="1">
      <alignment horizontal="right"/>
    </xf>
    <xf numFmtId="0" fontId="8" fillId="0" borderId="0" xfId="0" applyFont="1" applyFill="1" applyBorder="1" applyAlignment="1">
      <alignment horizontal="left"/>
    </xf>
    <xf numFmtId="0" fontId="8" fillId="17" borderId="0" xfId="0" applyFont="1" applyFill="1" applyBorder="1" applyAlignment="1"/>
    <xf numFmtId="0" fontId="8" fillId="0" borderId="0" xfId="0" applyFont="1"/>
    <xf numFmtId="0" fontId="0" fillId="2" borderId="0" xfId="0" applyFill="1" applyBorder="1" applyAlignment="1"/>
    <xf numFmtId="0" fontId="0" fillId="10" borderId="0" xfId="0" applyFill="1" applyBorder="1" applyAlignment="1"/>
    <xf numFmtId="0" fontId="8" fillId="0" borderId="0" xfId="0" applyFont="1" applyBorder="1" applyAlignment="1"/>
    <xf numFmtId="0" fontId="0" fillId="0" borderId="0" xfId="0" applyFill="1" applyBorder="1" applyAlignment="1">
      <alignment horizontal="right"/>
    </xf>
    <xf numFmtId="165" fontId="0" fillId="0" borderId="0" xfId="0" applyNumberFormat="1" applyFill="1"/>
    <xf numFmtId="0" fontId="6" fillId="2" borderId="0" xfId="0" applyFont="1" applyFill="1" applyBorder="1" applyAlignment="1"/>
    <xf numFmtId="0" fontId="9" fillId="6" borderId="0" xfId="0" applyFont="1" applyFill="1" applyBorder="1" applyAlignment="1"/>
    <xf numFmtId="0" fontId="9" fillId="21" borderId="0" xfId="0" applyFont="1" applyFill="1" applyBorder="1" applyAlignment="1"/>
    <xf numFmtId="0" fontId="10" fillId="0" borderId="0" xfId="0" applyFont="1" applyBorder="1" applyAlignment="1"/>
    <xf numFmtId="0" fontId="2" fillId="0" borderId="0" xfId="0" applyFont="1"/>
    <xf numFmtId="0" fontId="9" fillId="0" borderId="0" xfId="0" applyFont="1" applyFill="1" applyAlignment="1">
      <alignment horizontal="right" wrapText="1"/>
    </xf>
    <xf numFmtId="0" fontId="2" fillId="0" borderId="0" xfId="0" applyFont="1" applyFill="1" applyAlignment="1">
      <alignment horizontal="right" wrapText="1"/>
    </xf>
    <xf numFmtId="0" fontId="12" fillId="0" borderId="1" xfId="4" applyFont="1" applyFill="1" applyBorder="1" applyAlignment="1"/>
    <xf numFmtId="0" fontId="13" fillId="0" borderId="1" xfId="4" applyFont="1" applyFill="1" applyBorder="1" applyAlignment="1"/>
    <xf numFmtId="0" fontId="4" fillId="0" borderId="1" xfId="4" applyFont="1" applyFill="1" applyBorder="1" applyAlignment="1"/>
    <xf numFmtId="0" fontId="5" fillId="0" borderId="1" xfId="4" applyFont="1" applyFill="1" applyBorder="1" applyAlignment="1"/>
    <xf numFmtId="0" fontId="9" fillId="0" borderId="1" xfId="0" applyFont="1" applyFill="1" applyBorder="1"/>
    <xf numFmtId="0" fontId="11" fillId="0" borderId="1" xfId="0" applyFont="1" applyFill="1" applyBorder="1"/>
    <xf numFmtId="0" fontId="2" fillId="0" borderId="1" xfId="0" applyFont="1" applyFill="1" applyBorder="1"/>
    <xf numFmtId="0" fontId="0" fillId="0" borderId="1" xfId="0" applyFill="1" applyBorder="1"/>
    <xf numFmtId="0" fontId="0" fillId="0" borderId="1" xfId="0" applyBorder="1"/>
    <xf numFmtId="0" fontId="12" fillId="0" borderId="0" xfId="4" applyFont="1" applyFill="1" applyBorder="1" applyAlignment="1"/>
    <xf numFmtId="0" fontId="13" fillId="0" borderId="0" xfId="4" applyFont="1" applyFill="1" applyBorder="1" applyAlignment="1"/>
    <xf numFmtId="0" fontId="4" fillId="0" borderId="0" xfId="4" applyFont="1" applyFill="1" applyBorder="1" applyAlignment="1"/>
    <xf numFmtId="0" fontId="5" fillId="0" borderId="0" xfId="4" applyFont="1" applyFill="1" applyBorder="1" applyAlignment="1"/>
    <xf numFmtId="0" fontId="9" fillId="0" borderId="0" xfId="0" applyFont="1" applyFill="1"/>
    <xf numFmtId="0" fontId="11" fillId="0" borderId="0" xfId="0" applyFont="1" applyFill="1"/>
    <xf numFmtId="0" fontId="2" fillId="0" borderId="0" xfId="0" applyFont="1" applyFill="1"/>
    <xf numFmtId="0" fontId="0" fillId="0" borderId="0" xfId="0"/>
    <xf numFmtId="0" fontId="0" fillId="0" borderId="0" xfId="0" applyAlignment="1"/>
    <xf numFmtId="0" fontId="0" fillId="24" borderId="0" xfId="0" applyFill="1" applyAlignment="1"/>
    <xf numFmtId="0" fontId="0" fillId="61" borderId="0" xfId="0" applyFill="1" applyAlignment="1"/>
    <xf numFmtId="0" fontId="0" fillId="63" borderId="0" xfId="0" applyFill="1" applyAlignment="1"/>
    <xf numFmtId="0" fontId="0" fillId="62" borderId="0" xfId="0" applyFill="1" applyAlignment="1"/>
    <xf numFmtId="0" fontId="0" fillId="20" borderId="0" xfId="0" applyFill="1" applyAlignment="1"/>
    <xf numFmtId="0" fontId="2" fillId="61" borderId="0" xfId="0" applyFont="1" applyFill="1" applyAlignment="1"/>
    <xf numFmtId="0" fontId="2" fillId="63" borderId="0" xfId="0" applyFont="1" applyFill="1" applyAlignment="1"/>
    <xf numFmtId="0" fontId="2" fillId="62" borderId="0" xfId="0" applyFont="1" applyFill="1" applyAlignment="1"/>
    <xf numFmtId="0" fontId="2" fillId="0" borderId="0" xfId="0" applyFont="1" applyAlignment="1"/>
    <xf numFmtId="0" fontId="2" fillId="24" borderId="0" xfId="0" applyFont="1" applyFill="1" applyAlignment="1"/>
    <xf numFmtId="0" fontId="2" fillId="0" borderId="0" xfId="0" applyFont="1" applyFill="1" applyAlignment="1">
      <alignment horizontal="center" vertical="center" wrapText="1"/>
    </xf>
    <xf numFmtId="9" fontId="8" fillId="64" borderId="0" xfId="0" applyNumberFormat="1" applyFont="1" applyFill="1" applyAlignment="1">
      <alignment horizontal="center" vertical="center"/>
    </xf>
    <xf numFmtId="0" fontId="2" fillId="0" borderId="0" xfId="0" applyFont="1" applyAlignment="1">
      <alignment horizontal="left"/>
    </xf>
    <xf numFmtId="9" fontId="6" fillId="0" borderId="0" xfId="0" applyNumberFormat="1" applyFont="1" applyBorder="1" applyAlignment="1">
      <alignment horizontal="center" vertical="center"/>
    </xf>
    <xf numFmtId="9" fontId="8" fillId="64" borderId="0" xfId="0" applyNumberFormat="1" applyFont="1" applyFill="1" applyBorder="1" applyAlignment="1">
      <alignment horizontal="center" vertical="center"/>
    </xf>
    <xf numFmtId="9" fontId="8" fillId="0" borderId="0" xfId="0" applyNumberFormat="1" applyFont="1" applyBorder="1" applyAlignment="1">
      <alignment horizontal="center" vertical="center"/>
    </xf>
    <xf numFmtId="9" fontId="8" fillId="0" borderId="0" xfId="0" applyNumberFormat="1" applyFont="1" applyFill="1" applyBorder="1" applyAlignment="1">
      <alignment horizontal="center" vertical="center"/>
    </xf>
    <xf numFmtId="0" fontId="2" fillId="0" borderId="0" xfId="0" applyFont="1" applyFill="1" applyBorder="1" applyAlignment="1">
      <alignment horizontal="center"/>
    </xf>
    <xf numFmtId="0" fontId="2" fillId="0" borderId="0" xfId="0" applyFont="1" applyAlignment="1">
      <alignment horizontal="left" vertical="center" wrapText="1"/>
    </xf>
    <xf numFmtId="9" fontId="2" fillId="0" borderId="0" xfId="0" applyNumberFormat="1" applyFont="1" applyFill="1" applyAlignment="1">
      <alignment horizontal="center"/>
    </xf>
    <xf numFmtId="0" fontId="2" fillId="0" borderId="0" xfId="0" applyFont="1" applyFill="1" applyAlignment="1">
      <alignment horizontal="center"/>
    </xf>
    <xf numFmtId="0" fontId="0" fillId="0" borderId="0" xfId="0" applyFont="1" applyFill="1" applyBorder="1" applyAlignment="1">
      <alignment horizontal="center" wrapText="1"/>
    </xf>
    <xf numFmtId="9" fontId="8" fillId="0" borderId="0" xfId="0" applyNumberFormat="1" applyFont="1" applyFill="1" applyAlignment="1">
      <alignment horizontal="center" vertical="center"/>
    </xf>
    <xf numFmtId="9" fontId="0" fillId="0" borderId="0" xfId="0" applyNumberFormat="1" applyFont="1" applyAlignment="1">
      <alignment horizontal="center" vertical="center"/>
    </xf>
    <xf numFmtId="9" fontId="29" fillId="0" borderId="0" xfId="0" applyNumberFormat="1" applyFont="1" applyBorder="1" applyAlignment="1">
      <alignment horizontal="center" vertical="center"/>
    </xf>
    <xf numFmtId="9" fontId="8" fillId="0" borderId="0" xfId="0" applyNumberFormat="1" applyFont="1" applyBorder="1" applyAlignment="1">
      <alignment horizontal="center"/>
    </xf>
    <xf numFmtId="9" fontId="0" fillId="0" borderId="0" xfId="0" applyNumberFormat="1" applyFont="1" applyBorder="1" applyAlignment="1">
      <alignment horizontal="center" vertical="center"/>
    </xf>
    <xf numFmtId="9" fontId="30" fillId="0" borderId="0" xfId="0" applyNumberFormat="1" applyFont="1" applyBorder="1" applyAlignment="1">
      <alignment horizontal="center" vertical="center"/>
    </xf>
    <xf numFmtId="9" fontId="29" fillId="0" borderId="0" xfId="0" applyNumberFormat="1" applyFont="1" applyAlignment="1">
      <alignment horizontal="center" vertical="center"/>
    </xf>
    <xf numFmtId="9" fontId="8" fillId="0" borderId="0" xfId="0" applyNumberFormat="1" applyFont="1" applyAlignment="1">
      <alignment horizontal="center"/>
    </xf>
    <xf numFmtId="9" fontId="8" fillId="0" borderId="0" xfId="0" applyNumberFormat="1" applyFont="1" applyAlignment="1">
      <alignment horizontal="center" vertical="center"/>
    </xf>
    <xf numFmtId="0" fontId="0" fillId="0" borderId="0" xfId="0" applyFont="1"/>
    <xf numFmtId="9" fontId="2" fillId="0" borderId="11" xfId="0" applyNumberFormat="1" applyFont="1" applyFill="1" applyBorder="1" applyAlignment="1">
      <alignment horizontal="center"/>
    </xf>
    <xf numFmtId="0" fontId="2" fillId="0" borderId="12" xfId="0" applyFont="1" applyFill="1" applyBorder="1" applyAlignment="1">
      <alignment horizontal="center" vertical="center" wrapText="1"/>
    </xf>
    <xf numFmtId="0" fontId="0" fillId="0" borderId="12" xfId="0" applyFill="1" applyBorder="1"/>
    <xf numFmtId="0" fontId="2" fillId="0" borderId="12" xfId="0" applyFont="1" applyFill="1" applyBorder="1" applyAlignment="1">
      <alignment horizontal="center"/>
    </xf>
    <xf numFmtId="9" fontId="2" fillId="0" borderId="13" xfId="0" applyNumberFormat="1" applyFont="1" applyFill="1" applyBorder="1" applyAlignment="1">
      <alignment horizontal="center"/>
    </xf>
    <xf numFmtId="9" fontId="2" fillId="0" borderId="12" xfId="0" applyNumberFormat="1" applyFont="1" applyFill="1" applyBorder="1" applyAlignment="1">
      <alignment horizontal="center"/>
    </xf>
    <xf numFmtId="0" fontId="2" fillId="0" borderId="11" xfId="0" applyFont="1" applyBorder="1"/>
    <xf numFmtId="0" fontId="2" fillId="0" borderId="0" xfId="0" applyFont="1" applyBorder="1" applyAlignment="1">
      <alignment horizontal="left"/>
    </xf>
    <xf numFmtId="9" fontId="8" fillId="0" borderId="11" xfId="0" applyNumberFormat="1" applyFont="1" applyBorder="1" applyAlignment="1">
      <alignment horizontal="center" vertical="center"/>
    </xf>
    <xf numFmtId="9" fontId="8" fillId="0" borderId="11" xfId="0" applyNumberFormat="1" applyFont="1" applyBorder="1" applyAlignment="1">
      <alignment horizontal="center"/>
    </xf>
    <xf numFmtId="9" fontId="29" fillId="0" borderId="11" xfId="0" applyNumberFormat="1" applyFont="1" applyBorder="1" applyAlignment="1">
      <alignment horizontal="center" vertical="center"/>
    </xf>
    <xf numFmtId="9" fontId="2" fillId="0" borderId="0" xfId="0" applyNumberFormat="1" applyFont="1" applyFill="1" applyBorder="1" applyAlignment="1">
      <alignment horizontal="center"/>
    </xf>
    <xf numFmtId="9" fontId="1" fillId="0" borderId="11" xfId="0" applyNumberFormat="1" applyFont="1" applyFill="1" applyBorder="1" applyAlignment="1">
      <alignment horizontal="center" vertical="center"/>
    </xf>
    <xf numFmtId="9" fontId="29" fillId="0" borderId="11" xfId="0" applyNumberFormat="1" applyFont="1" applyFill="1" applyBorder="1" applyAlignment="1">
      <alignment horizontal="center" vertical="center"/>
    </xf>
    <xf numFmtId="0" fontId="0" fillId="0" borderId="11" xfId="0" applyBorder="1"/>
    <xf numFmtId="9" fontId="6" fillId="0" borderId="12" xfId="0" applyNumberFormat="1" applyFont="1" applyFill="1" applyBorder="1" applyAlignment="1">
      <alignment horizontal="center" vertical="center"/>
    </xf>
    <xf numFmtId="9" fontId="0" fillId="0" borderId="0" xfId="0" applyNumberFormat="1" applyFont="1" applyFill="1" applyBorder="1" applyAlignment="1">
      <alignment horizontal="center" vertical="center"/>
    </xf>
    <xf numFmtId="0" fontId="2" fillId="5" borderId="0" xfId="0" applyFont="1" applyFill="1" applyBorder="1" applyAlignment="1"/>
    <xf numFmtId="0" fontId="31" fillId="0" borderId="1" xfId="4" applyFont="1" applyFill="1" applyBorder="1" applyAlignment="1"/>
    <xf numFmtId="0" fontId="5" fillId="0" borderId="0" xfId="3" applyFont="1" applyFill="1" applyBorder="1" applyAlignment="1">
      <alignment horizontal="right"/>
    </xf>
    <xf numFmtId="0" fontId="2" fillId="0" borderId="0" xfId="0" applyFont="1" applyFill="1" applyBorder="1" applyAlignment="1">
      <alignment wrapText="1"/>
    </xf>
    <xf numFmtId="0" fontId="0" fillId="0" borderId="0" xfId="0" applyNumberFormat="1" applyFill="1" applyBorder="1" applyAlignment="1">
      <alignment horizontal="center"/>
    </xf>
    <xf numFmtId="0" fontId="5" fillId="0" borderId="0" xfId="1" applyFont="1" applyFill="1" applyBorder="1" applyAlignment="1">
      <alignment horizontal="right"/>
    </xf>
    <xf numFmtId="0" fontId="4" fillId="0" borderId="0" xfId="1" applyFont="1" applyFill="1" applyBorder="1" applyAlignment="1">
      <alignment horizontal="center" wrapText="1"/>
    </xf>
    <xf numFmtId="0" fontId="0" fillId="0" borderId="0" xfId="0" applyNumberFormat="1" applyFill="1" applyAlignment="1">
      <alignment horizontal="center"/>
    </xf>
    <xf numFmtId="0" fontId="2" fillId="0" borderId="0" xfId="0" applyNumberFormat="1" applyFont="1" applyFill="1" applyAlignment="1">
      <alignment horizontal="center"/>
    </xf>
    <xf numFmtId="0" fontId="0" fillId="21" borderId="0" xfId="0" applyFill="1"/>
    <xf numFmtId="0" fontId="0" fillId="6" borderId="0" xfId="0" applyFill="1"/>
    <xf numFmtId="0" fontId="2" fillId="0" borderId="0" xfId="0" applyFont="1" applyAlignment="1">
      <alignment wrapText="1"/>
    </xf>
    <xf numFmtId="0" fontId="0" fillId="0" borderId="0" xfId="0" applyAlignment="1">
      <alignment wrapText="1"/>
    </xf>
    <xf numFmtId="164" fontId="0" fillId="0" borderId="0" xfId="0" applyNumberFormat="1" applyFill="1" applyBorder="1" applyAlignment="1">
      <alignment horizontal="center"/>
    </xf>
    <xf numFmtId="164" fontId="2" fillId="0" borderId="0" xfId="0" applyNumberFormat="1" applyFont="1" applyFill="1" applyBorder="1" applyAlignment="1">
      <alignment horizontal="center" wrapText="1"/>
    </xf>
    <xf numFmtId="164" fontId="2" fillId="0" borderId="0" xfId="0" applyNumberFormat="1" applyFont="1" applyAlignment="1">
      <alignment horizontal="left" wrapText="1"/>
    </xf>
    <xf numFmtId="0" fontId="5" fillId="0" borderId="14" xfId="3" applyFont="1" applyFill="1" applyBorder="1" applyAlignment="1">
      <alignment horizontal="left"/>
    </xf>
    <xf numFmtId="164" fontId="0" fillId="0" borderId="0" xfId="0" applyNumberFormat="1" applyFill="1" applyBorder="1" applyAlignment="1">
      <alignment horizontal="left"/>
    </xf>
    <xf numFmtId="0" fontId="8" fillId="0" borderId="0" xfId="0" applyFont="1" applyBorder="1"/>
    <xf numFmtId="0" fontId="6" fillId="0" borderId="0" xfId="0" applyFont="1" applyFill="1" applyAlignment="1">
      <alignment horizontal="right" wrapText="1"/>
    </xf>
    <xf numFmtId="0" fontId="0" fillId="0" borderId="1" xfId="0" applyBorder="1" applyAlignment="1"/>
    <xf numFmtId="0" fontId="31" fillId="0" borderId="0" xfId="4" applyFont="1" applyFill="1" applyBorder="1" applyAlignment="1"/>
    <xf numFmtId="0" fontId="0" fillId="0" borderId="1" xfId="0" applyFill="1" applyBorder="1" applyAlignment="1"/>
    <xf numFmtId="0" fontId="0" fillId="0" borderId="0" xfId="0"/>
    <xf numFmtId="0" fontId="9" fillId="0" borderId="0" xfId="0" applyFont="1" applyFill="1" applyBorder="1"/>
    <xf numFmtId="0" fontId="32" fillId="0" borderId="0" xfId="0" applyFont="1" applyFill="1" applyBorder="1"/>
    <xf numFmtId="2" fontId="1" fillId="0" borderId="0" xfId="0" applyNumberFormat="1" applyFont="1" applyFill="1"/>
    <xf numFmtId="1" fontId="1" fillId="0" borderId="0" xfId="0" applyNumberFormat="1" applyFont="1" applyFill="1"/>
    <xf numFmtId="164" fontId="1" fillId="0" borderId="0" xfId="0" applyNumberFormat="1" applyFont="1" applyFill="1"/>
    <xf numFmtId="0" fontId="5" fillId="0" borderId="1" xfId="3" applyFont="1" applyFill="1" applyBorder="1" applyAlignment="1">
      <alignment horizontal="right"/>
    </xf>
    <xf numFmtId="0" fontId="0" fillId="0" borderId="0" xfId="0" applyFont="1" applyAlignment="1"/>
    <xf numFmtId="0" fontId="9" fillId="0" borderId="0" xfId="0" applyFont="1" applyFill="1" applyAlignment="1">
      <alignment horizontal="left" wrapText="1"/>
    </xf>
    <xf numFmtId="0" fontId="11" fillId="0" borderId="0" xfId="0" applyFont="1" applyFill="1" applyAlignment="1">
      <alignment horizontal="left" wrapText="1"/>
    </xf>
    <xf numFmtId="0" fontId="2" fillId="0" borderId="0" xfId="0" applyFont="1" applyFill="1" applyAlignment="1">
      <alignment horizontal="left" wrapText="1"/>
    </xf>
    <xf numFmtId="1" fontId="8" fillId="0" borderId="0" xfId="0" applyNumberFormat="1" applyFont="1" applyFill="1"/>
    <xf numFmtId="0" fontId="8" fillId="0" borderId="0" xfId="0" applyFont="1" applyFill="1"/>
    <xf numFmtId="2" fontId="1" fillId="0" borderId="0" xfId="0" applyNumberFormat="1" applyFont="1" applyFill="1" applyBorder="1"/>
    <xf numFmtId="1" fontId="8" fillId="0" borderId="0" xfId="0" applyNumberFormat="1" applyFont="1" applyFill="1" applyBorder="1"/>
    <xf numFmtId="165" fontId="8" fillId="0" borderId="0" xfId="0" applyNumberFormat="1" applyFont="1" applyFill="1"/>
    <xf numFmtId="164" fontId="8" fillId="0" borderId="0" xfId="0" applyNumberFormat="1" applyFont="1" applyFill="1" applyAlignment="1">
      <alignment wrapText="1"/>
    </xf>
    <xf numFmtId="1" fontId="8" fillId="0" borderId="0" xfId="0" applyNumberFormat="1" applyFont="1" applyFill="1" applyAlignment="1">
      <alignment wrapText="1"/>
    </xf>
    <xf numFmtId="0" fontId="8" fillId="0" borderId="0" xfId="0" applyFont="1" applyFill="1" applyBorder="1"/>
    <xf numFmtId="0" fontId="2" fillId="16" borderId="0" xfId="0" applyFont="1" applyFill="1" applyBorder="1" applyAlignment="1">
      <alignment horizontal="center"/>
    </xf>
    <xf numFmtId="0" fontId="34" fillId="0" borderId="0" xfId="0" applyFont="1" applyFill="1" applyBorder="1" applyAlignment="1">
      <alignment horizontal="center"/>
    </xf>
    <xf numFmtId="0" fontId="33" fillId="0" borderId="0" xfId="0" applyFont="1" applyBorder="1"/>
    <xf numFmtId="0" fontId="8" fillId="0" borderId="0" xfId="0" applyFont="1" applyFill="1" applyBorder="1" applyAlignment="1">
      <alignment horizontal="center"/>
    </xf>
    <xf numFmtId="0" fontId="0" fillId="26" borderId="0" xfId="0" applyFill="1" applyBorder="1" applyAlignment="1">
      <alignment horizontal="center"/>
    </xf>
    <xf numFmtId="0" fontId="0" fillId="15" borderId="0" xfId="0" applyFill="1" applyBorder="1" applyAlignment="1">
      <alignment horizontal="center"/>
    </xf>
    <xf numFmtId="0" fontId="2" fillId="0" borderId="0" xfId="0" applyFont="1" applyFill="1" applyBorder="1" applyAlignment="1">
      <alignment horizontal="right" wrapText="1"/>
    </xf>
    <xf numFmtId="0" fontId="6" fillId="0" borderId="0" xfId="0" applyFont="1" applyFill="1" applyBorder="1"/>
    <xf numFmtId="0" fontId="0" fillId="0" borderId="0" xfId="0"/>
    <xf numFmtId="0" fontId="0" fillId="0" borderId="0" xfId="0" applyBorder="1"/>
    <xf numFmtId="0" fontId="6" fillId="5" borderId="0" xfId="0" applyFont="1" applyFill="1" applyBorder="1" applyAlignment="1">
      <alignment horizontal="left"/>
    </xf>
    <xf numFmtId="0" fontId="0" fillId="0" borderId="0" xfId="0"/>
    <xf numFmtId="0" fontId="2" fillId="21" borderId="0" xfId="0" applyFont="1" applyFill="1" applyBorder="1" applyAlignment="1">
      <alignment horizontal="center"/>
    </xf>
    <xf numFmtId="0" fontId="0" fillId="0" borderId="0" xfId="0" applyAlignment="1">
      <alignment horizontal="center"/>
    </xf>
    <xf numFmtId="0" fontId="2" fillId="11" borderId="0" xfId="0" applyFont="1" applyFill="1" applyBorder="1" applyAlignment="1">
      <alignment horizontal="center"/>
    </xf>
    <xf numFmtId="0" fontId="0" fillId="11" borderId="0" xfId="0" applyFill="1" applyAlignment="1">
      <alignment horizontal="center"/>
    </xf>
    <xf numFmtId="0" fontId="2" fillId="22" borderId="0" xfId="0" applyFont="1" applyFill="1" applyBorder="1" applyAlignment="1">
      <alignment horizontal="center"/>
    </xf>
    <xf numFmtId="0" fontId="2" fillId="17" borderId="0" xfId="0" applyFont="1" applyFill="1" applyBorder="1" applyAlignment="1">
      <alignment horizontal="center"/>
    </xf>
    <xf numFmtId="0" fontId="2" fillId="19" borderId="0" xfId="0" applyFont="1" applyFill="1" applyBorder="1" applyAlignment="1">
      <alignment horizontal="center"/>
    </xf>
    <xf numFmtId="0" fontId="2" fillId="20" borderId="0" xfId="0" applyFont="1" applyFill="1" applyBorder="1" applyAlignment="1">
      <alignment horizontal="center"/>
    </xf>
    <xf numFmtId="0" fontId="2" fillId="18" borderId="0" xfId="0" applyFont="1" applyFill="1" applyBorder="1" applyAlignment="1">
      <alignment horizontal="center"/>
    </xf>
    <xf numFmtId="0" fontId="2" fillId="16" borderId="0" xfId="0" applyFont="1" applyFill="1" applyBorder="1" applyAlignment="1">
      <alignment horizontal="center"/>
    </xf>
    <xf numFmtId="0" fontId="2" fillId="2" borderId="0" xfId="0" applyFont="1" applyFill="1" applyBorder="1" applyAlignment="1">
      <alignment horizontal="center"/>
    </xf>
    <xf numFmtId="0" fontId="2" fillId="5" borderId="0" xfId="0" applyFont="1" applyFill="1" applyBorder="1" applyAlignment="1">
      <alignment horizontal="center"/>
    </xf>
  </cellXfs>
  <cellStyles count="4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_CHOLLIHCPAAD_SCNAk5_111215" xfId="1"/>
    <cellStyle name="Normal_pullout game" xfId="4"/>
    <cellStyle name="Normal_Sheet1" xfId="3"/>
    <cellStyle name="Normal_Sheet3" xfId="2"/>
    <cellStyle name="Note" xfId="19" builtinId="10" customBuiltin="1"/>
    <cellStyle name="Output" xfId="14" builtinId="21" customBuiltin="1"/>
    <cellStyle name="Title" xfId="5" builtinId="15" customBuiltin="1"/>
    <cellStyle name="Total" xfId="21" builtinId="25" customBuiltin="1"/>
    <cellStyle name="Warning Text" xfId="18" builtinId="11" customBuiltin="1"/>
  </cellStyles>
  <dxfs count="4">
    <dxf>
      <fill>
        <patternFill>
          <bgColor theme="6"/>
        </patternFill>
      </fill>
    </dxf>
    <dxf>
      <fill>
        <patternFill>
          <bgColor theme="5"/>
        </patternFill>
      </fill>
    </dxf>
    <dxf>
      <fill>
        <patternFill>
          <bgColor theme="3"/>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Custom 1">
      <a:dk1>
        <a:sysClr val="windowText" lastClr="000000"/>
      </a:dk1>
      <a:lt1>
        <a:srgbClr val="FFFFFF"/>
      </a:lt1>
      <a:dk2>
        <a:srgbClr val="FFC000"/>
      </a:dk2>
      <a:lt2>
        <a:srgbClr val="FFFF00"/>
      </a:lt2>
      <a:accent1>
        <a:srgbClr val="0000FF"/>
      </a:accent1>
      <a:accent2>
        <a:srgbClr val="FF6600"/>
      </a:accent2>
      <a:accent3>
        <a:srgbClr val="FF0000"/>
      </a:accent3>
      <a:accent4>
        <a:srgbClr val="00FF00"/>
      </a:accent4>
      <a:accent5>
        <a:srgbClr val="66FFFF"/>
      </a:accent5>
      <a:accent6>
        <a:srgbClr val="CC99FF"/>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93"/>
  <sheetViews>
    <sheetView zoomScale="55" zoomScaleNormal="55" workbookViewId="0">
      <pane xSplit="11" topLeftCell="BH1" activePane="topRight" state="frozen"/>
      <selection pane="topRight" activeCell="A2" sqref="A2"/>
    </sheetView>
  </sheetViews>
  <sheetFormatPr defaultRowHeight="15" x14ac:dyDescent="0.25"/>
  <cols>
    <col min="1" max="1" width="19.140625" style="2" bestFit="1" customWidth="1"/>
    <col min="2" max="2" width="20" style="29" customWidth="1"/>
    <col min="3" max="3" width="15.140625" style="29" customWidth="1"/>
    <col min="4" max="4" width="15.85546875" style="29" customWidth="1"/>
    <col min="5" max="5" width="11.42578125" style="29" customWidth="1"/>
    <col min="6" max="8" width="9.140625" style="29" customWidth="1"/>
    <col min="9" max="11" width="9.140625" style="2" customWidth="1"/>
    <col min="12" max="17" width="9.140625" style="2"/>
    <col min="18" max="18" width="20.7109375" style="2" customWidth="1"/>
    <col min="19" max="20" width="9" style="2" customWidth="1"/>
    <col min="21" max="22" width="9.140625" style="2"/>
    <col min="23" max="26" width="12" style="2" customWidth="1"/>
    <col min="27" max="47" width="9.140625" style="29"/>
    <col min="48" max="48" width="9.140625" style="225"/>
    <col min="49" max="51" width="9.140625" style="29"/>
    <col min="52" max="55" width="9.140625" style="2"/>
    <col min="56" max="56" width="9.140625" style="2" customWidth="1"/>
    <col min="57" max="59" width="9.140625" style="2"/>
    <col min="60" max="60" width="11.28515625" style="2" customWidth="1"/>
    <col min="61" max="63" width="9.140625" style="2"/>
    <col min="64" max="64" width="10.42578125" style="2" bestFit="1" customWidth="1"/>
    <col min="65" max="65" width="12.7109375" style="2" customWidth="1"/>
    <col min="66" max="66" width="11.7109375" style="2" customWidth="1"/>
    <col min="67" max="67" width="13.85546875" style="2" customWidth="1"/>
    <col min="68" max="68" width="19.140625" style="2" customWidth="1"/>
    <col min="69" max="69" width="9.7109375" style="2" customWidth="1"/>
    <col min="70" max="70" width="11" style="2" customWidth="1"/>
    <col min="71" max="71" width="10.7109375" style="2" customWidth="1"/>
    <col min="72" max="72" width="9.140625" style="2" customWidth="1"/>
    <col min="73" max="73" width="19.7109375" style="2" customWidth="1"/>
    <col min="74" max="74" width="9.140625" style="2"/>
    <col min="75" max="75" width="12" style="2" customWidth="1"/>
    <col min="76" max="78" width="15.42578125" style="2" customWidth="1"/>
    <col min="79" max="79" width="9.140625" style="2"/>
    <col min="80" max="80" width="9.140625" style="29"/>
    <col min="81" max="83" width="9.140625" style="2"/>
    <col min="84" max="84" width="20.5703125" style="2" customWidth="1"/>
    <col min="85" max="86" width="15.85546875" style="2" customWidth="1"/>
    <col min="87" max="87" width="14.42578125" style="2" customWidth="1"/>
    <col min="88" max="88" width="14.42578125" style="4" customWidth="1"/>
    <col min="89" max="89" width="23.85546875" style="2" customWidth="1"/>
    <col min="90" max="90" width="16.42578125" style="2" customWidth="1"/>
    <col min="91" max="91" width="9.140625" style="2" customWidth="1"/>
    <col min="92" max="92" width="9.140625" style="2"/>
    <col min="93" max="93" width="17.85546875" style="2" customWidth="1"/>
    <col min="94" max="95" width="9.140625" style="2"/>
    <col min="96" max="96" width="15.85546875" style="2" customWidth="1"/>
    <col min="97" max="130" width="9.140625" style="2"/>
    <col min="131" max="131" width="8.7109375" style="2" customWidth="1"/>
    <col min="132" max="16384" width="9.140625" style="2"/>
  </cols>
  <sheetData>
    <row r="1" spans="1:142" x14ac:dyDescent="0.25">
      <c r="A1" s="1" t="s">
        <v>3759</v>
      </c>
      <c r="AS1" s="1"/>
    </row>
    <row r="2" spans="1:142" s="1" customFormat="1" x14ac:dyDescent="0.25">
      <c r="B2" s="28"/>
      <c r="C2" s="233" t="s">
        <v>336</v>
      </c>
      <c r="D2" s="229"/>
      <c r="E2" s="229"/>
      <c r="F2" s="229"/>
      <c r="G2" s="229"/>
      <c r="H2" s="229"/>
      <c r="I2" s="236" t="s">
        <v>337</v>
      </c>
      <c r="J2" s="236"/>
      <c r="K2" s="236"/>
      <c r="L2" s="236"/>
      <c r="M2" s="236"/>
      <c r="N2" s="236"/>
      <c r="O2" s="236"/>
      <c r="P2" s="236"/>
      <c r="Q2" s="236"/>
      <c r="R2" s="236"/>
      <c r="S2" s="236"/>
      <c r="T2" s="234" t="s">
        <v>338</v>
      </c>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39" t="s">
        <v>3494</v>
      </c>
      <c r="AV2" s="239"/>
      <c r="AW2" s="238" t="s">
        <v>339</v>
      </c>
      <c r="AX2" s="238"/>
      <c r="AY2" s="238"/>
      <c r="AZ2" s="238"/>
      <c r="BA2" s="238"/>
      <c r="BB2" s="238"/>
      <c r="BC2" s="238"/>
      <c r="BD2" s="238"/>
      <c r="BE2" s="238"/>
      <c r="BF2" s="235" t="s">
        <v>340</v>
      </c>
      <c r="BG2" s="229"/>
      <c r="BH2" s="229"/>
      <c r="BI2" s="229"/>
      <c r="BJ2" s="229"/>
      <c r="BK2" s="229"/>
      <c r="BL2" s="229"/>
      <c r="BM2" s="237" t="s">
        <v>341</v>
      </c>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28" t="s">
        <v>342</v>
      </c>
      <c r="CL2" s="229"/>
      <c r="CM2" s="229"/>
      <c r="CN2" s="229"/>
      <c r="CO2" s="229"/>
      <c r="CP2" s="229"/>
      <c r="CQ2" s="229"/>
      <c r="CR2" s="229"/>
      <c r="CS2" s="229"/>
      <c r="CT2" s="229"/>
      <c r="CU2" s="230" t="s">
        <v>343</v>
      </c>
      <c r="CV2" s="231"/>
      <c r="CW2" s="231"/>
      <c r="CX2" s="231"/>
      <c r="CY2" s="231"/>
      <c r="CZ2" s="231"/>
      <c r="DA2" s="231"/>
      <c r="DB2" s="231"/>
      <c r="DC2" s="231"/>
      <c r="DD2" s="231"/>
      <c r="DE2" s="231"/>
      <c r="DF2" s="231"/>
      <c r="DG2" s="231"/>
      <c r="DH2" s="231"/>
      <c r="DI2" s="231"/>
      <c r="DJ2" s="231"/>
      <c r="DK2" s="231"/>
      <c r="DL2" s="231"/>
      <c r="DM2" s="231"/>
      <c r="DN2" s="231"/>
      <c r="DO2" s="231"/>
      <c r="DP2" s="231"/>
      <c r="DQ2" s="231"/>
      <c r="DR2" s="232" t="s">
        <v>344</v>
      </c>
      <c r="DS2" s="229"/>
      <c r="DT2" s="229"/>
      <c r="DU2" s="229"/>
      <c r="DV2" s="229"/>
      <c r="DW2" s="229"/>
      <c r="DX2" s="229"/>
      <c r="DY2" s="229"/>
      <c r="DZ2" s="229"/>
      <c r="EA2" s="229"/>
      <c r="EB2" s="229"/>
      <c r="EC2" s="229"/>
      <c r="ED2" s="229"/>
      <c r="EE2" s="229"/>
      <c r="EF2" s="229"/>
      <c r="EG2" s="229"/>
      <c r="EH2" s="229"/>
      <c r="EI2" s="229"/>
      <c r="EJ2" s="229"/>
      <c r="EK2" s="229"/>
      <c r="EL2" s="229"/>
    </row>
    <row r="3" spans="1:142" x14ac:dyDescent="0.25">
      <c r="A3" s="28" t="s">
        <v>345</v>
      </c>
      <c r="C3" s="30" t="s">
        <v>346</v>
      </c>
      <c r="D3" s="30" t="s">
        <v>346</v>
      </c>
      <c r="E3" s="30" t="s">
        <v>346</v>
      </c>
      <c r="F3" s="30" t="s">
        <v>346</v>
      </c>
      <c r="G3" s="30" t="s">
        <v>346</v>
      </c>
      <c r="H3" s="30" t="s">
        <v>346</v>
      </c>
      <c r="I3" s="31" t="s">
        <v>347</v>
      </c>
      <c r="J3" s="31" t="s">
        <v>347</v>
      </c>
      <c r="K3" s="31" t="s">
        <v>347</v>
      </c>
      <c r="L3" s="31" t="s">
        <v>347</v>
      </c>
      <c r="M3" s="31" t="s">
        <v>347</v>
      </c>
      <c r="N3" s="31" t="s">
        <v>347</v>
      </c>
      <c r="O3" s="31" t="s">
        <v>347</v>
      </c>
      <c r="P3" s="31" t="s">
        <v>347</v>
      </c>
      <c r="Q3" s="31" t="s">
        <v>347</v>
      </c>
      <c r="R3" s="31" t="s">
        <v>347</v>
      </c>
      <c r="S3" s="31" t="s">
        <v>347</v>
      </c>
      <c r="T3" s="32" t="s">
        <v>348</v>
      </c>
      <c r="U3" s="32" t="s">
        <v>348</v>
      </c>
      <c r="V3" s="32" t="s">
        <v>348</v>
      </c>
      <c r="W3" s="33" t="s">
        <v>348</v>
      </c>
      <c r="X3" s="32" t="s">
        <v>348</v>
      </c>
      <c r="Y3" s="32" t="s">
        <v>348</v>
      </c>
      <c r="Z3" s="32" t="s">
        <v>348</v>
      </c>
      <c r="AA3" s="32" t="s">
        <v>348</v>
      </c>
      <c r="AB3" s="32" t="s">
        <v>348</v>
      </c>
      <c r="AC3" s="32" t="s">
        <v>348</v>
      </c>
      <c r="AD3" s="32" t="s">
        <v>348</v>
      </c>
      <c r="AE3" s="32" t="s">
        <v>348</v>
      </c>
      <c r="AF3" s="32" t="s">
        <v>348</v>
      </c>
      <c r="AG3" s="32" t="s">
        <v>348</v>
      </c>
      <c r="AH3" s="32" t="s">
        <v>348</v>
      </c>
      <c r="AI3" s="32" t="s">
        <v>348</v>
      </c>
      <c r="AJ3" s="32" t="s">
        <v>348</v>
      </c>
      <c r="AK3" s="32" t="s">
        <v>348</v>
      </c>
      <c r="AL3" s="32" t="s">
        <v>348</v>
      </c>
      <c r="AM3" s="32" t="s">
        <v>348</v>
      </c>
      <c r="AN3" s="32" t="s">
        <v>348</v>
      </c>
      <c r="AO3" s="32" t="s">
        <v>348</v>
      </c>
      <c r="AP3" s="174" t="s">
        <v>3460</v>
      </c>
      <c r="AQ3" s="32" t="s">
        <v>348</v>
      </c>
      <c r="AR3" s="32" t="s">
        <v>348</v>
      </c>
      <c r="AS3" s="32" t="s">
        <v>348</v>
      </c>
      <c r="AT3" s="32" t="s">
        <v>348</v>
      </c>
      <c r="AU3" s="174" t="s">
        <v>3494</v>
      </c>
      <c r="AV3" s="174" t="s">
        <v>3494</v>
      </c>
      <c r="AW3" s="34" t="s">
        <v>349</v>
      </c>
      <c r="AX3" s="34" t="s">
        <v>349</v>
      </c>
      <c r="AY3" s="34" t="s">
        <v>349</v>
      </c>
      <c r="AZ3" s="34" t="s">
        <v>349</v>
      </c>
      <c r="BA3" s="34" t="s">
        <v>349</v>
      </c>
      <c r="BB3" s="34" t="s">
        <v>349</v>
      </c>
      <c r="BC3" s="34" t="s">
        <v>349</v>
      </c>
      <c r="BD3" s="34" t="s">
        <v>349</v>
      </c>
      <c r="BE3" s="34" t="s">
        <v>350</v>
      </c>
      <c r="BF3" s="35" t="s">
        <v>351</v>
      </c>
      <c r="BG3" s="35" t="s">
        <v>351</v>
      </c>
      <c r="BH3" s="35" t="s">
        <v>351</v>
      </c>
      <c r="BI3" s="35" t="s">
        <v>351</v>
      </c>
      <c r="BJ3" s="35" t="s">
        <v>351</v>
      </c>
      <c r="BK3" s="35" t="s">
        <v>351</v>
      </c>
      <c r="BL3" s="35" t="s">
        <v>351</v>
      </c>
      <c r="BM3" s="36" t="s">
        <v>352</v>
      </c>
      <c r="BN3" s="36" t="s">
        <v>353</v>
      </c>
      <c r="BO3" s="36" t="s">
        <v>353</v>
      </c>
      <c r="BP3" s="36" t="s">
        <v>353</v>
      </c>
      <c r="BQ3" s="36" t="s">
        <v>354</v>
      </c>
      <c r="BR3" s="36" t="s">
        <v>355</v>
      </c>
      <c r="BS3" s="36" t="s">
        <v>353</v>
      </c>
      <c r="BT3" s="36" t="s">
        <v>353</v>
      </c>
      <c r="BU3" s="36" t="s">
        <v>353</v>
      </c>
      <c r="BV3" s="36" t="s">
        <v>353</v>
      </c>
      <c r="BW3" s="36" t="s">
        <v>353</v>
      </c>
      <c r="BX3" s="36" t="s">
        <v>353</v>
      </c>
      <c r="BY3" s="36" t="s">
        <v>356</v>
      </c>
      <c r="BZ3" s="36" t="s">
        <v>355</v>
      </c>
      <c r="CA3" s="36" t="s">
        <v>355</v>
      </c>
      <c r="CB3" s="36" t="s">
        <v>355</v>
      </c>
      <c r="CC3" s="36" t="s">
        <v>353</v>
      </c>
      <c r="CD3" s="36" t="s">
        <v>353</v>
      </c>
      <c r="CE3" s="36" t="s">
        <v>353</v>
      </c>
      <c r="CF3" s="36" t="s">
        <v>355</v>
      </c>
      <c r="CG3" s="36" t="s">
        <v>353</v>
      </c>
      <c r="CH3" s="36" t="s">
        <v>353</v>
      </c>
      <c r="CI3" s="36" t="s">
        <v>353</v>
      </c>
      <c r="CJ3" s="216" t="s">
        <v>355</v>
      </c>
      <c r="CK3" s="37" t="s">
        <v>357</v>
      </c>
      <c r="CL3" s="37" t="s">
        <v>357</v>
      </c>
      <c r="CM3" s="37" t="s">
        <v>357</v>
      </c>
      <c r="CN3" s="37" t="s">
        <v>357</v>
      </c>
      <c r="CO3" s="37" t="s">
        <v>357</v>
      </c>
      <c r="CP3" s="37" t="s">
        <v>357</v>
      </c>
      <c r="CQ3" s="37" t="s">
        <v>357</v>
      </c>
      <c r="CR3" s="37" t="s">
        <v>357</v>
      </c>
      <c r="CS3" s="37" t="s">
        <v>357</v>
      </c>
      <c r="CT3" s="37" t="s">
        <v>357</v>
      </c>
      <c r="CU3" s="38" t="s">
        <v>358</v>
      </c>
      <c r="CV3" s="38" t="s">
        <v>358</v>
      </c>
      <c r="CW3" s="38" t="s">
        <v>358</v>
      </c>
      <c r="CX3" s="38" t="s">
        <v>358</v>
      </c>
      <c r="CY3" s="38" t="s">
        <v>358</v>
      </c>
      <c r="CZ3" s="38" t="s">
        <v>358</v>
      </c>
      <c r="DA3" s="38" t="s">
        <v>358</v>
      </c>
      <c r="DB3" s="38" t="s">
        <v>358</v>
      </c>
      <c r="DC3" s="38" t="s">
        <v>358</v>
      </c>
      <c r="DD3" s="38" t="s">
        <v>358</v>
      </c>
      <c r="DE3" s="38" t="s">
        <v>358</v>
      </c>
      <c r="DF3" s="38" t="s">
        <v>358</v>
      </c>
      <c r="DG3" s="38" t="s">
        <v>358</v>
      </c>
      <c r="DH3" s="38" t="s">
        <v>358</v>
      </c>
      <c r="DI3" s="38" t="s">
        <v>358</v>
      </c>
      <c r="DJ3" s="38" t="s">
        <v>358</v>
      </c>
      <c r="DK3" s="38" t="s">
        <v>358</v>
      </c>
      <c r="DL3" s="38" t="s">
        <v>358</v>
      </c>
      <c r="DM3" s="38" t="s">
        <v>358</v>
      </c>
      <c r="DN3" s="38" t="s">
        <v>358</v>
      </c>
      <c r="DO3" s="38" t="s">
        <v>358</v>
      </c>
      <c r="DP3" s="38" t="s">
        <v>358</v>
      </c>
      <c r="DQ3" s="38" t="s">
        <v>358</v>
      </c>
      <c r="DR3" s="39" t="s">
        <v>359</v>
      </c>
      <c r="DS3" s="39" t="s">
        <v>360</v>
      </c>
      <c r="DT3" s="39"/>
      <c r="DU3" s="39" t="s">
        <v>361</v>
      </c>
      <c r="DV3" s="39" t="s">
        <v>360</v>
      </c>
      <c r="DW3" s="39" t="s">
        <v>362</v>
      </c>
      <c r="DX3" s="39" t="s">
        <v>363</v>
      </c>
      <c r="DY3" s="39" t="s">
        <v>364</v>
      </c>
      <c r="DZ3" s="39" t="s">
        <v>361</v>
      </c>
      <c r="EA3" s="39" t="s">
        <v>365</v>
      </c>
      <c r="EB3" s="39"/>
      <c r="EC3" s="39"/>
      <c r="ED3" s="39" t="s">
        <v>366</v>
      </c>
      <c r="EE3" s="39" t="s">
        <v>367</v>
      </c>
      <c r="EF3" s="39" t="s">
        <v>368</v>
      </c>
      <c r="EG3" s="39" t="s">
        <v>369</v>
      </c>
      <c r="EH3" s="39" t="s">
        <v>370</v>
      </c>
      <c r="EI3" s="39" t="s">
        <v>371</v>
      </c>
      <c r="EJ3" s="39" t="s">
        <v>372</v>
      </c>
      <c r="EK3" s="39" t="s">
        <v>373</v>
      </c>
      <c r="EL3" s="39" t="s">
        <v>374</v>
      </c>
    </row>
    <row r="4" spans="1:142" x14ac:dyDescent="0.25">
      <c r="A4" s="29"/>
      <c r="B4" s="28" t="s">
        <v>375</v>
      </c>
      <c r="C4" s="30" t="s">
        <v>376</v>
      </c>
      <c r="D4" s="30" t="s">
        <v>377</v>
      </c>
      <c r="E4" s="30" t="s">
        <v>378</v>
      </c>
      <c r="F4" s="30" t="s">
        <v>379</v>
      </c>
      <c r="G4" s="30" t="s">
        <v>380</v>
      </c>
      <c r="H4" s="30" t="s">
        <v>381</v>
      </c>
      <c r="I4" s="31" t="s">
        <v>382</v>
      </c>
      <c r="J4" s="31" t="s">
        <v>383</v>
      </c>
      <c r="K4" s="31" t="s">
        <v>384</v>
      </c>
      <c r="L4" s="31" t="s">
        <v>382</v>
      </c>
      <c r="M4" s="31" t="s">
        <v>385</v>
      </c>
      <c r="N4" s="31" t="s">
        <v>386</v>
      </c>
      <c r="O4" s="31" t="s">
        <v>387</v>
      </c>
      <c r="P4" s="31" t="s">
        <v>3498</v>
      </c>
      <c r="Q4" s="31" t="s">
        <v>3491</v>
      </c>
      <c r="R4" s="31" t="s">
        <v>3492</v>
      </c>
      <c r="S4" s="31" t="s">
        <v>388</v>
      </c>
      <c r="T4" s="32" t="s">
        <v>389</v>
      </c>
      <c r="U4" s="32" t="s">
        <v>390</v>
      </c>
      <c r="V4" s="32" t="s">
        <v>391</v>
      </c>
      <c r="W4" s="33" t="s">
        <v>392</v>
      </c>
      <c r="X4" s="32" t="s">
        <v>393</v>
      </c>
      <c r="Y4" s="32" t="s">
        <v>394</v>
      </c>
      <c r="Z4" s="32" t="s">
        <v>395</v>
      </c>
      <c r="AA4" s="32" t="s">
        <v>396</v>
      </c>
      <c r="AB4" s="32" t="s">
        <v>397</v>
      </c>
      <c r="AC4" s="32" t="s">
        <v>398</v>
      </c>
      <c r="AD4" s="32" t="s">
        <v>399</v>
      </c>
      <c r="AE4" s="32" t="s">
        <v>400</v>
      </c>
      <c r="AF4" s="32" t="s">
        <v>401</v>
      </c>
      <c r="AG4" s="32" t="s">
        <v>402</v>
      </c>
      <c r="AH4" s="32" t="s">
        <v>403</v>
      </c>
      <c r="AI4" s="32" t="s">
        <v>404</v>
      </c>
      <c r="AJ4" s="32" t="s">
        <v>405</v>
      </c>
      <c r="AK4" s="32" t="s">
        <v>406</v>
      </c>
      <c r="AL4" s="32" t="s">
        <v>407</v>
      </c>
      <c r="AM4" s="40" t="s">
        <v>408</v>
      </c>
      <c r="AN4" s="40" t="s">
        <v>409</v>
      </c>
      <c r="AO4" s="33" t="s">
        <v>410</v>
      </c>
      <c r="AP4" s="174" t="s">
        <v>410</v>
      </c>
      <c r="AQ4" s="33" t="s">
        <v>411</v>
      </c>
      <c r="AR4" s="33" t="s">
        <v>412</v>
      </c>
      <c r="AS4" s="33" t="s">
        <v>413</v>
      </c>
      <c r="AT4" s="33" t="s">
        <v>414</v>
      </c>
      <c r="AU4" s="174" t="s">
        <v>3493</v>
      </c>
      <c r="AV4" s="226" t="s">
        <v>3731</v>
      </c>
      <c r="AW4" s="41" t="s">
        <v>415</v>
      </c>
      <c r="AX4" s="41" t="s">
        <v>416</v>
      </c>
      <c r="AY4" s="41" t="s">
        <v>417</v>
      </c>
      <c r="AZ4" s="41" t="s">
        <v>418</v>
      </c>
      <c r="BA4" s="41" t="s">
        <v>419</v>
      </c>
      <c r="BB4" s="41" t="s">
        <v>420</v>
      </c>
      <c r="BC4" s="41" t="s">
        <v>3497</v>
      </c>
      <c r="BD4" s="41" t="s">
        <v>421</v>
      </c>
      <c r="BE4" s="41" t="s">
        <v>422</v>
      </c>
      <c r="BF4" s="35" t="s">
        <v>423</v>
      </c>
      <c r="BG4" s="35" t="s">
        <v>424</v>
      </c>
      <c r="BH4" s="35" t="s">
        <v>425</v>
      </c>
      <c r="BI4" s="35" t="s">
        <v>426</v>
      </c>
      <c r="BJ4" s="35" t="s">
        <v>427</v>
      </c>
      <c r="BK4" s="35" t="s">
        <v>428</v>
      </c>
      <c r="BL4" s="35" t="s">
        <v>429</v>
      </c>
      <c r="BM4" s="36" t="s">
        <v>430</v>
      </c>
      <c r="BN4" s="36" t="s">
        <v>431</v>
      </c>
      <c r="BO4" s="36" t="s">
        <v>432</v>
      </c>
      <c r="BP4" s="36" t="s">
        <v>433</v>
      </c>
      <c r="BQ4" s="36"/>
      <c r="BR4" s="36" t="s">
        <v>434</v>
      </c>
      <c r="BS4" s="36" t="s">
        <v>435</v>
      </c>
      <c r="BT4" s="36" t="s">
        <v>436</v>
      </c>
      <c r="BU4" s="36" t="s">
        <v>437</v>
      </c>
      <c r="BV4" s="36" t="s">
        <v>438</v>
      </c>
      <c r="BW4" s="36" t="s">
        <v>439</v>
      </c>
      <c r="BX4" s="36" t="s">
        <v>440</v>
      </c>
      <c r="BY4" s="36" t="s">
        <v>441</v>
      </c>
      <c r="BZ4" s="36" t="s">
        <v>442</v>
      </c>
      <c r="CA4" s="36" t="s">
        <v>443</v>
      </c>
      <c r="CB4" s="36" t="s">
        <v>444</v>
      </c>
      <c r="CC4" s="36" t="s">
        <v>445</v>
      </c>
      <c r="CD4" s="36" t="s">
        <v>446</v>
      </c>
      <c r="CE4" s="36" t="s">
        <v>447</v>
      </c>
      <c r="CF4" s="36" t="s">
        <v>448</v>
      </c>
      <c r="CG4" s="36" t="s">
        <v>449</v>
      </c>
      <c r="CH4" s="36" t="s">
        <v>450</v>
      </c>
      <c r="CI4" s="36" t="s">
        <v>451</v>
      </c>
      <c r="CJ4" s="216" t="s">
        <v>452</v>
      </c>
      <c r="CK4" s="37" t="s">
        <v>453</v>
      </c>
      <c r="CL4" s="37" t="s">
        <v>454</v>
      </c>
      <c r="CM4" s="37" t="s">
        <v>455</v>
      </c>
      <c r="CN4" s="37" t="s">
        <v>456</v>
      </c>
      <c r="CO4" s="37" t="s">
        <v>457</v>
      </c>
      <c r="CP4" s="37" t="s">
        <v>458</v>
      </c>
      <c r="CQ4" s="37" t="s">
        <v>459</v>
      </c>
      <c r="CR4" s="37" t="s">
        <v>460</v>
      </c>
      <c r="CS4" s="37" t="s">
        <v>461</v>
      </c>
      <c r="CT4" s="37" t="s">
        <v>462</v>
      </c>
      <c r="CU4" s="42" t="s">
        <v>463</v>
      </c>
      <c r="CV4" s="42" t="s">
        <v>464</v>
      </c>
      <c r="CW4" s="42" t="s">
        <v>465</v>
      </c>
      <c r="CX4" s="42" t="s">
        <v>466</v>
      </c>
      <c r="CY4" s="42" t="s">
        <v>467</v>
      </c>
      <c r="CZ4" s="42" t="s">
        <v>468</v>
      </c>
      <c r="DA4" s="42" t="s">
        <v>469</v>
      </c>
      <c r="DB4" s="42" t="s">
        <v>470</v>
      </c>
      <c r="DC4" s="42" t="s">
        <v>471</v>
      </c>
      <c r="DD4" s="42" t="s">
        <v>472</v>
      </c>
      <c r="DE4" s="42" t="s">
        <v>473</v>
      </c>
      <c r="DF4" s="42" t="s">
        <v>474</v>
      </c>
      <c r="DG4" s="42" t="s">
        <v>475</v>
      </c>
      <c r="DH4" s="42" t="s">
        <v>476</v>
      </c>
      <c r="DI4" s="42" t="s">
        <v>477</v>
      </c>
      <c r="DJ4" s="42" t="s">
        <v>478</v>
      </c>
      <c r="DK4" s="42" t="s">
        <v>479</v>
      </c>
      <c r="DL4" s="42" t="s">
        <v>480</v>
      </c>
      <c r="DM4" s="42" t="s">
        <v>481</v>
      </c>
      <c r="DN4" s="42" t="s">
        <v>482</v>
      </c>
      <c r="DO4" s="42" t="s">
        <v>483</v>
      </c>
      <c r="DP4" s="42" t="s">
        <v>484</v>
      </c>
      <c r="DQ4" s="42" t="s">
        <v>485</v>
      </c>
      <c r="DR4" s="43">
        <v>1</v>
      </c>
      <c r="DS4" s="43">
        <v>2</v>
      </c>
      <c r="DT4" s="43">
        <v>3</v>
      </c>
      <c r="DU4" s="43">
        <v>4</v>
      </c>
      <c r="DV4" s="43">
        <v>5</v>
      </c>
      <c r="DW4" s="44">
        <v>6</v>
      </c>
      <c r="DX4" s="43">
        <v>7</v>
      </c>
      <c r="DY4" s="43">
        <v>8</v>
      </c>
      <c r="DZ4" s="43">
        <v>9</v>
      </c>
      <c r="EA4" s="43">
        <v>10</v>
      </c>
      <c r="EB4" s="43">
        <v>11</v>
      </c>
      <c r="EC4" s="43">
        <v>12</v>
      </c>
      <c r="ED4" s="43">
        <v>13</v>
      </c>
      <c r="EE4" s="43">
        <v>14</v>
      </c>
      <c r="EF4" s="43">
        <v>15</v>
      </c>
      <c r="EG4" s="43">
        <v>16</v>
      </c>
      <c r="EH4" s="43">
        <v>17</v>
      </c>
      <c r="EI4" s="43">
        <v>18</v>
      </c>
      <c r="EJ4" s="43">
        <v>19</v>
      </c>
      <c r="EK4" s="43">
        <v>20</v>
      </c>
      <c r="EL4" s="43">
        <v>21</v>
      </c>
    </row>
    <row r="5" spans="1:142" x14ac:dyDescent="0.25">
      <c r="A5" s="29" t="s">
        <v>61</v>
      </c>
      <c r="B5" s="29" t="s">
        <v>486</v>
      </c>
      <c r="C5" s="29">
        <v>1</v>
      </c>
      <c r="D5" s="29">
        <v>1</v>
      </c>
      <c r="E5" s="29">
        <v>1</v>
      </c>
      <c r="F5" s="29">
        <v>1</v>
      </c>
      <c r="G5" s="29">
        <v>1</v>
      </c>
      <c r="H5" s="29">
        <v>1</v>
      </c>
      <c r="I5" s="45">
        <v>2</v>
      </c>
      <c r="J5" s="46" t="s">
        <v>261</v>
      </c>
      <c r="K5" s="47" t="s">
        <v>487</v>
      </c>
      <c r="L5" s="47">
        <v>2</v>
      </c>
      <c r="M5" s="47">
        <v>1</v>
      </c>
      <c r="N5" s="48">
        <v>1</v>
      </c>
      <c r="O5" s="197">
        <v>2</v>
      </c>
      <c r="P5" s="197">
        <v>2</v>
      </c>
      <c r="Q5" s="49">
        <v>0</v>
      </c>
      <c r="R5" s="49">
        <v>0</v>
      </c>
      <c r="S5" s="227">
        <v>3</v>
      </c>
      <c r="T5" s="50" t="s">
        <v>488</v>
      </c>
      <c r="U5" s="2">
        <v>68</v>
      </c>
      <c r="V5" s="2">
        <v>67</v>
      </c>
      <c r="W5" s="5">
        <v>49</v>
      </c>
      <c r="X5" s="29"/>
      <c r="Y5" s="51"/>
      <c r="Z5" s="51"/>
      <c r="AA5" s="51"/>
      <c r="AB5" s="51"/>
      <c r="AC5" s="51"/>
      <c r="AD5" s="51"/>
      <c r="AE5" s="51"/>
      <c r="AF5" s="51"/>
      <c r="AG5" s="51"/>
      <c r="AH5" s="51"/>
      <c r="AI5" s="51"/>
      <c r="AJ5" s="51"/>
      <c r="AK5" s="51"/>
      <c r="AL5" s="51"/>
      <c r="AM5" s="51"/>
      <c r="AN5" s="51"/>
      <c r="AO5" s="33" t="s">
        <v>58</v>
      </c>
      <c r="AU5" s="29">
        <v>0.58172855161015502</v>
      </c>
      <c r="AV5" s="227">
        <v>5.2155755948693203</v>
      </c>
      <c r="AW5" s="52">
        <v>2.8672058122560466</v>
      </c>
      <c r="AX5" s="52">
        <v>0.73523447445792622</v>
      </c>
      <c r="AY5" s="52">
        <v>0.52106751946299956</v>
      </c>
      <c r="AZ5" s="52">
        <v>1.18796180613267</v>
      </c>
      <c r="BA5" s="52">
        <v>8.911515072148242E-2</v>
      </c>
      <c r="BB5" s="52">
        <v>4.0227605057981597</v>
      </c>
      <c r="BC5" s="52">
        <v>0.86857504281153464</v>
      </c>
      <c r="BD5" s="52">
        <v>1.0929201754701792</v>
      </c>
      <c r="BE5" s="225">
        <v>6.6661628572739203E-4</v>
      </c>
      <c r="BF5" s="53">
        <v>0.24</v>
      </c>
      <c r="BG5" s="2" t="s">
        <v>489</v>
      </c>
      <c r="BH5" s="225">
        <v>1.74</v>
      </c>
      <c r="BI5" s="2">
        <v>0</v>
      </c>
      <c r="BJ5" s="2">
        <v>43</v>
      </c>
      <c r="BK5" s="2">
        <v>0.21</v>
      </c>
      <c r="BL5" s="2">
        <v>0.42</v>
      </c>
      <c r="BM5" s="1" t="s">
        <v>490</v>
      </c>
      <c r="BN5" s="29" t="s">
        <v>491</v>
      </c>
      <c r="BO5" s="29" t="s">
        <v>492</v>
      </c>
      <c r="BP5" s="29">
        <v>72</v>
      </c>
      <c r="BQ5" s="29">
        <v>0</v>
      </c>
      <c r="BR5" s="54" t="s">
        <v>493</v>
      </c>
      <c r="BS5" s="29" t="s">
        <v>494</v>
      </c>
      <c r="BT5" s="29" t="s">
        <v>495</v>
      </c>
      <c r="BU5" s="29" t="s">
        <v>4</v>
      </c>
      <c r="BV5" s="29" t="s">
        <v>496</v>
      </c>
      <c r="BW5" s="29" t="s">
        <v>497</v>
      </c>
      <c r="BX5" s="29" t="s">
        <v>498</v>
      </c>
      <c r="BY5" s="29">
        <v>1</v>
      </c>
      <c r="BZ5" s="29" t="s">
        <v>499</v>
      </c>
      <c r="CA5" s="29">
        <v>538</v>
      </c>
      <c r="CB5" s="29">
        <v>0.2</v>
      </c>
      <c r="CC5" s="225" t="s">
        <v>500</v>
      </c>
      <c r="CD5" s="29" t="s">
        <v>501</v>
      </c>
      <c r="CE5" s="29" t="s">
        <v>502</v>
      </c>
      <c r="CF5" s="29" t="s">
        <v>501</v>
      </c>
      <c r="CG5" s="29" t="s">
        <v>503</v>
      </c>
      <c r="CH5" s="29" t="s">
        <v>504</v>
      </c>
      <c r="CI5" s="29" t="s">
        <v>501</v>
      </c>
      <c r="CJ5" s="4" t="s">
        <v>505</v>
      </c>
      <c r="CK5" s="29">
        <v>2</v>
      </c>
      <c r="CL5" s="29">
        <v>0.9</v>
      </c>
      <c r="CM5" s="29" t="s">
        <v>506</v>
      </c>
      <c r="CN5" s="29" t="s">
        <v>507</v>
      </c>
      <c r="CO5" s="29" t="s">
        <v>508</v>
      </c>
      <c r="CP5" s="29" t="s">
        <v>509</v>
      </c>
      <c r="CQ5" s="29" t="s">
        <v>510</v>
      </c>
      <c r="CR5" s="29">
        <v>0</v>
      </c>
      <c r="CS5" s="29" t="s">
        <v>509</v>
      </c>
      <c r="CT5" s="55" t="s">
        <v>511</v>
      </c>
      <c r="CU5" s="225">
        <v>0</v>
      </c>
      <c r="CV5" s="225">
        <v>0</v>
      </c>
      <c r="CW5" s="47">
        <v>1</v>
      </c>
      <c r="CX5" s="2">
        <v>0</v>
      </c>
      <c r="CY5" s="225">
        <v>0</v>
      </c>
      <c r="CZ5" s="2">
        <v>0</v>
      </c>
      <c r="DA5" s="225">
        <v>0</v>
      </c>
      <c r="DB5" s="47">
        <v>1</v>
      </c>
      <c r="DC5" s="56">
        <v>1</v>
      </c>
      <c r="DD5" s="47">
        <v>1</v>
      </c>
      <c r="DE5" s="47">
        <v>1</v>
      </c>
      <c r="DF5" s="56">
        <v>1</v>
      </c>
      <c r="DG5" s="225">
        <v>0</v>
      </c>
      <c r="DH5" s="225">
        <v>0</v>
      </c>
      <c r="DI5" s="225">
        <v>0</v>
      </c>
      <c r="DJ5" s="225">
        <v>0</v>
      </c>
      <c r="DK5" s="47">
        <v>1</v>
      </c>
      <c r="DL5" s="2">
        <v>0</v>
      </c>
      <c r="DM5" s="47">
        <v>1</v>
      </c>
      <c r="DN5" s="56">
        <v>1</v>
      </c>
      <c r="DO5" s="47">
        <v>1</v>
      </c>
      <c r="DP5" s="225">
        <v>0</v>
      </c>
      <c r="DQ5" s="2">
        <v>0</v>
      </c>
      <c r="DR5" s="57">
        <v>9.5055236254546593E-2</v>
      </c>
      <c r="DS5">
        <v>0</v>
      </c>
      <c r="DT5" s="227">
        <v>0</v>
      </c>
      <c r="DU5" s="58">
        <v>0.174414537472839</v>
      </c>
      <c r="DV5" s="227">
        <v>0</v>
      </c>
      <c r="DW5" s="59">
        <v>0.16263471087812401</v>
      </c>
      <c r="DX5" s="227">
        <v>0</v>
      </c>
      <c r="DY5" s="57">
        <v>3.1577895237931003E-2</v>
      </c>
      <c r="DZ5" s="60">
        <v>0.13174392617907901</v>
      </c>
      <c r="EA5" s="57">
        <v>2.3459469003544502E-2</v>
      </c>
      <c r="EB5" s="57">
        <v>2.1667065310737001E-2</v>
      </c>
      <c r="EC5" s="57">
        <v>4.8057521580463801E-2</v>
      </c>
      <c r="ED5" s="61">
        <v>0</v>
      </c>
      <c r="EE5" s="60">
        <v>0.107413460035141</v>
      </c>
      <c r="EF5">
        <v>0</v>
      </c>
      <c r="EG5" s="57">
        <v>2.6352022107556401E-2</v>
      </c>
      <c r="EH5" s="57">
        <v>2.8591040797050198E-2</v>
      </c>
      <c r="EI5" s="57">
        <v>4.2704270329237598E-2</v>
      </c>
      <c r="EJ5" s="57">
        <v>5.3154353749497903E-2</v>
      </c>
      <c r="EK5" s="57">
        <v>1.6392006030878498E-2</v>
      </c>
      <c r="EL5" s="57">
        <v>3.6782485033373301E-2</v>
      </c>
    </row>
    <row r="6" spans="1:142" x14ac:dyDescent="0.25">
      <c r="A6" s="29" t="s">
        <v>66</v>
      </c>
      <c r="B6" s="29" t="s">
        <v>486</v>
      </c>
      <c r="C6" s="29">
        <v>1</v>
      </c>
      <c r="D6" s="29">
        <v>1</v>
      </c>
      <c r="E6" s="29">
        <v>1</v>
      </c>
      <c r="F6" s="29">
        <v>1</v>
      </c>
      <c r="G6" s="29">
        <v>1</v>
      </c>
      <c r="H6" s="45" t="s">
        <v>257</v>
      </c>
      <c r="I6" s="45">
        <v>2</v>
      </c>
      <c r="J6" s="46" t="s">
        <v>261</v>
      </c>
      <c r="K6" s="47" t="s">
        <v>487</v>
      </c>
      <c r="L6" s="47">
        <v>2</v>
      </c>
      <c r="M6" s="47">
        <v>1</v>
      </c>
      <c r="N6" s="48">
        <v>1</v>
      </c>
      <c r="O6" s="197">
        <v>2</v>
      </c>
      <c r="P6" s="197">
        <v>2</v>
      </c>
      <c r="Q6" s="49">
        <v>0</v>
      </c>
      <c r="R6" s="49">
        <v>0</v>
      </c>
      <c r="S6" s="29"/>
      <c r="T6" s="50">
        <v>6</v>
      </c>
      <c r="U6" s="2">
        <v>50</v>
      </c>
      <c r="V6" s="2">
        <v>39</v>
      </c>
      <c r="W6" s="5">
        <v>34</v>
      </c>
      <c r="X6" s="29"/>
      <c r="Y6" s="29"/>
      <c r="Z6" s="29"/>
      <c r="AA6" s="67"/>
      <c r="AB6" s="67"/>
      <c r="AC6" s="67"/>
      <c r="AD6" s="67"/>
      <c r="AE6" s="68" t="s">
        <v>525</v>
      </c>
      <c r="AF6" s="67"/>
      <c r="AG6" s="51"/>
      <c r="AH6" s="69" t="s">
        <v>526</v>
      </c>
      <c r="AI6" s="51"/>
      <c r="AJ6" s="51"/>
      <c r="AK6" s="51"/>
      <c r="AL6" s="51"/>
      <c r="AM6" s="51"/>
      <c r="AN6" s="51"/>
      <c r="AO6" s="33" t="s">
        <v>58</v>
      </c>
      <c r="AU6" s="29">
        <v>0.25706265319451199</v>
      </c>
      <c r="AV6" s="227">
        <v>8.6191994982522999</v>
      </c>
      <c r="AW6" s="52">
        <v>1.6292308426943523</v>
      </c>
      <c r="AX6" s="52">
        <v>0.78198147889617942</v>
      </c>
      <c r="AY6" s="52">
        <v>0.61625423059222173</v>
      </c>
      <c r="AZ6" s="52">
        <v>0.95758903770576531</v>
      </c>
      <c r="BA6" s="52">
        <v>0.12414066040686579</v>
      </c>
      <c r="BB6" s="52">
        <v>5.1823525629427154</v>
      </c>
      <c r="BC6" s="52">
        <v>0.78144626606675793</v>
      </c>
      <c r="BD6" s="52">
        <v>1.0421655203882998</v>
      </c>
      <c r="BE6" s="225">
        <v>4.6822726616536399E-4</v>
      </c>
      <c r="BF6" s="53">
        <v>0.34</v>
      </c>
      <c r="BG6" s="2" t="s">
        <v>489</v>
      </c>
      <c r="BH6" s="225">
        <v>3.23</v>
      </c>
      <c r="BI6" s="2">
        <v>1</v>
      </c>
      <c r="BJ6" s="2">
        <v>37</v>
      </c>
      <c r="BK6" s="2">
        <v>0.45</v>
      </c>
      <c r="BL6" s="2">
        <v>7.0000000000000007E-2</v>
      </c>
      <c r="BM6" s="1" t="s">
        <v>490</v>
      </c>
      <c r="BN6" s="29" t="s">
        <v>513</v>
      </c>
      <c r="BO6" s="29" t="s">
        <v>514</v>
      </c>
      <c r="BP6" s="29">
        <v>70</v>
      </c>
      <c r="BQ6" s="29">
        <v>0</v>
      </c>
      <c r="BR6" s="70" t="s">
        <v>527</v>
      </c>
      <c r="BS6" s="29" t="s">
        <v>1</v>
      </c>
      <c r="BT6" s="29" t="s">
        <v>495</v>
      </c>
      <c r="BU6" s="29" t="s">
        <v>5</v>
      </c>
      <c r="BV6" s="29" t="s">
        <v>528</v>
      </c>
      <c r="BW6" s="71" t="s">
        <v>529</v>
      </c>
      <c r="BX6" s="45" t="s">
        <v>530</v>
      </c>
      <c r="BY6" s="29">
        <v>1</v>
      </c>
      <c r="BZ6" s="29" t="s">
        <v>499</v>
      </c>
      <c r="CA6" s="29">
        <v>322</v>
      </c>
      <c r="CB6" s="29">
        <v>1.7</v>
      </c>
      <c r="CC6" s="72" t="s">
        <v>531</v>
      </c>
      <c r="CD6" s="29" t="s">
        <v>501</v>
      </c>
      <c r="CE6" s="29" t="s">
        <v>502</v>
      </c>
      <c r="CF6" s="29" t="s">
        <v>532</v>
      </c>
      <c r="CG6" s="29" t="s">
        <v>533</v>
      </c>
      <c r="CH6" s="29" t="s">
        <v>534</v>
      </c>
      <c r="CI6" s="29" t="s">
        <v>535</v>
      </c>
      <c r="CJ6" s="4" t="s">
        <v>536</v>
      </c>
      <c r="CK6" s="29">
        <v>2</v>
      </c>
      <c r="CL6" s="29">
        <v>0.8</v>
      </c>
      <c r="CM6" s="29" t="s">
        <v>537</v>
      </c>
      <c r="CN6" s="29" t="s">
        <v>538</v>
      </c>
      <c r="CO6" s="29" t="s">
        <v>509</v>
      </c>
      <c r="CP6" s="29" t="s">
        <v>508</v>
      </c>
      <c r="CQ6" s="29" t="s">
        <v>510</v>
      </c>
      <c r="CR6" s="29">
        <v>0</v>
      </c>
      <c r="CS6" s="29" t="s">
        <v>511</v>
      </c>
      <c r="CT6" s="55" t="s">
        <v>511</v>
      </c>
      <c r="CU6" s="225">
        <v>0</v>
      </c>
      <c r="CV6" s="225">
        <v>0</v>
      </c>
      <c r="CW6" s="225">
        <v>0</v>
      </c>
      <c r="CX6" s="2">
        <v>0</v>
      </c>
      <c r="CY6" s="56">
        <v>1</v>
      </c>
      <c r="CZ6" s="2">
        <v>0</v>
      </c>
      <c r="DA6" s="47">
        <v>1</v>
      </c>
      <c r="DB6" s="225">
        <v>0</v>
      </c>
      <c r="DC6" s="225">
        <v>0</v>
      </c>
      <c r="DD6" s="225">
        <v>0</v>
      </c>
      <c r="DE6" s="225">
        <v>0</v>
      </c>
      <c r="DF6" s="225">
        <v>0</v>
      </c>
      <c r="DG6" s="225">
        <v>0</v>
      </c>
      <c r="DH6" s="225">
        <v>0</v>
      </c>
      <c r="DI6" s="225">
        <v>0</v>
      </c>
      <c r="DJ6" s="225">
        <v>0</v>
      </c>
      <c r="DK6" s="47">
        <v>1</v>
      </c>
      <c r="DL6" s="2">
        <v>0</v>
      </c>
      <c r="DM6" s="47">
        <v>1</v>
      </c>
      <c r="DN6" s="2">
        <v>0</v>
      </c>
      <c r="DO6" s="47">
        <v>1</v>
      </c>
      <c r="DP6" s="225">
        <v>0</v>
      </c>
      <c r="DQ6" s="56">
        <v>1</v>
      </c>
      <c r="DR6" s="227">
        <v>0</v>
      </c>
      <c r="DS6">
        <v>0</v>
      </c>
      <c r="DT6" s="61">
        <v>0</v>
      </c>
      <c r="DU6" s="57">
        <v>5.8699218269855601E-2</v>
      </c>
      <c r="DV6" s="227">
        <v>0</v>
      </c>
      <c r="DW6" s="73">
        <v>0.33486157157486302</v>
      </c>
      <c r="DX6" s="227">
        <v>0</v>
      </c>
      <c r="DY6" s="57">
        <v>8.7726032343171306E-2</v>
      </c>
      <c r="DZ6" s="57">
        <v>1.42484158670481E-2</v>
      </c>
      <c r="EA6" s="227">
        <v>0</v>
      </c>
      <c r="EB6" s="57">
        <v>2.5119029603090201E-3</v>
      </c>
      <c r="EC6" s="227">
        <v>0</v>
      </c>
      <c r="ED6" s="57">
        <v>4.8070711348525898E-2</v>
      </c>
      <c r="EE6" s="60">
        <v>0.109362371567658</v>
      </c>
      <c r="EF6">
        <v>0</v>
      </c>
      <c r="EG6" s="57">
        <v>1.7402976426998399E-2</v>
      </c>
      <c r="EH6" s="57">
        <v>2.8749136356691E-3</v>
      </c>
      <c r="EI6" s="58">
        <v>0.17273340993126399</v>
      </c>
      <c r="EJ6" s="57">
        <v>3.8655118108306498E-2</v>
      </c>
      <c r="EK6" s="57">
        <v>8.9471036113208904E-2</v>
      </c>
      <c r="EL6" s="57">
        <v>2.33823218531223E-2</v>
      </c>
    </row>
    <row r="7" spans="1:142" x14ac:dyDescent="0.25">
      <c r="A7" s="45" t="s">
        <v>74</v>
      </c>
      <c r="B7" s="29" t="s">
        <v>486</v>
      </c>
      <c r="C7" s="29">
        <v>1</v>
      </c>
      <c r="D7" s="29">
        <v>1</v>
      </c>
      <c r="E7" s="29">
        <v>1</v>
      </c>
      <c r="F7" s="29">
        <v>1</v>
      </c>
      <c r="G7" s="29">
        <v>1</v>
      </c>
      <c r="H7" s="29">
        <v>1</v>
      </c>
      <c r="I7" s="45">
        <v>2</v>
      </c>
      <c r="J7" s="46" t="s">
        <v>261</v>
      </c>
      <c r="K7" s="47" t="s">
        <v>487</v>
      </c>
      <c r="L7" s="47">
        <v>2</v>
      </c>
      <c r="M7" s="47">
        <v>1</v>
      </c>
      <c r="N7" s="48">
        <v>1</v>
      </c>
      <c r="O7" s="197">
        <v>1</v>
      </c>
      <c r="P7" s="197">
        <v>2</v>
      </c>
      <c r="Q7" s="49">
        <v>0</v>
      </c>
      <c r="R7" s="49">
        <v>0</v>
      </c>
      <c r="S7" s="227">
        <v>3</v>
      </c>
      <c r="T7" s="50" t="s">
        <v>488</v>
      </c>
      <c r="U7" s="2">
        <v>21</v>
      </c>
      <c r="V7" s="2">
        <v>20</v>
      </c>
      <c r="W7" s="5">
        <v>11</v>
      </c>
      <c r="X7" s="29"/>
      <c r="Y7" s="29"/>
      <c r="Z7" s="29"/>
      <c r="AA7" s="67"/>
      <c r="AB7" s="67"/>
      <c r="AC7" s="67"/>
      <c r="AD7" s="67"/>
      <c r="AE7" s="67"/>
      <c r="AF7" s="45"/>
      <c r="AG7" s="45"/>
      <c r="AH7" s="51"/>
      <c r="AI7" s="51"/>
      <c r="AJ7" s="51"/>
      <c r="AK7" s="51"/>
      <c r="AL7" s="51"/>
      <c r="AM7" s="51"/>
      <c r="AN7" s="51"/>
      <c r="AO7" s="51"/>
      <c r="AU7" s="29">
        <v>0.92996077101333297</v>
      </c>
      <c r="AV7" s="227">
        <v>3.1045639154677498</v>
      </c>
      <c r="AW7" s="52">
        <v>15.609206939585427</v>
      </c>
      <c r="AX7" s="52">
        <v>1.1188232836303813</v>
      </c>
      <c r="AY7" s="52">
        <v>0.97946158103227321</v>
      </c>
      <c r="AZ7" s="52">
        <v>0.46424603805438658</v>
      </c>
      <c r="BA7" s="52">
        <v>0.15874663822470039</v>
      </c>
      <c r="BB7" s="52">
        <v>0.30783504204657935</v>
      </c>
      <c r="BC7" s="52">
        <v>1.0027248983863695</v>
      </c>
      <c r="BD7" s="52">
        <v>0.88753548482443556</v>
      </c>
      <c r="BE7" s="225" t="s">
        <v>71</v>
      </c>
      <c r="BF7" s="45" t="s">
        <v>71</v>
      </c>
      <c r="BG7" s="2" t="s">
        <v>569</v>
      </c>
      <c r="BH7" s="225" t="s">
        <v>71</v>
      </c>
      <c r="BI7" s="2" t="s">
        <v>71</v>
      </c>
      <c r="BJ7" s="2" t="s">
        <v>71</v>
      </c>
      <c r="BK7" s="2" t="s">
        <v>71</v>
      </c>
      <c r="BL7" s="2" t="s">
        <v>71</v>
      </c>
      <c r="BM7" s="1" t="s">
        <v>555</v>
      </c>
      <c r="BN7" s="29" t="s">
        <v>513</v>
      </c>
      <c r="BO7" s="29" t="s">
        <v>514</v>
      </c>
      <c r="BP7" s="29">
        <v>70</v>
      </c>
      <c r="BQ7" s="29">
        <v>0</v>
      </c>
      <c r="BR7" s="90" t="s">
        <v>527</v>
      </c>
      <c r="BS7" s="29" t="s">
        <v>568</v>
      </c>
      <c r="BT7" s="29" t="s">
        <v>495</v>
      </c>
      <c r="BU7" s="29" t="s">
        <v>5</v>
      </c>
      <c r="BV7" s="29" t="s">
        <v>496</v>
      </c>
      <c r="BW7" s="29" t="s">
        <v>497</v>
      </c>
      <c r="BX7" s="29" t="s">
        <v>570</v>
      </c>
      <c r="BY7" s="29">
        <v>1</v>
      </c>
      <c r="BZ7" s="29">
        <v>3.1</v>
      </c>
      <c r="CA7" s="29">
        <v>44</v>
      </c>
      <c r="CB7" s="225">
        <v>1.2</v>
      </c>
      <c r="CC7" s="225" t="s">
        <v>500</v>
      </c>
      <c r="CD7" s="29" t="s">
        <v>519</v>
      </c>
      <c r="CE7" s="29" t="s">
        <v>502</v>
      </c>
      <c r="CF7" s="29" t="s">
        <v>501</v>
      </c>
      <c r="CG7" s="29" t="s">
        <v>533</v>
      </c>
      <c r="CH7" s="29" t="s">
        <v>534</v>
      </c>
      <c r="CI7" s="29" t="s">
        <v>519</v>
      </c>
      <c r="CJ7" s="4">
        <v>1077</v>
      </c>
      <c r="CK7" s="29">
        <v>3</v>
      </c>
      <c r="CL7" s="29">
        <v>0.4</v>
      </c>
      <c r="CM7" s="29" t="s">
        <v>537</v>
      </c>
      <c r="CN7" s="29" t="s">
        <v>538</v>
      </c>
      <c r="CO7" s="29" t="s">
        <v>508</v>
      </c>
      <c r="CP7" s="29" t="s">
        <v>508</v>
      </c>
      <c r="CQ7" s="29" t="s">
        <v>510</v>
      </c>
      <c r="CR7" s="29">
        <v>0</v>
      </c>
      <c r="CS7" s="29" t="s">
        <v>511</v>
      </c>
      <c r="CT7" s="55" t="s">
        <v>511</v>
      </c>
      <c r="CU7" s="225">
        <v>0</v>
      </c>
      <c r="CV7" s="225">
        <v>0</v>
      </c>
      <c r="CW7" s="225">
        <v>0</v>
      </c>
      <c r="CX7" s="2">
        <v>0</v>
      </c>
      <c r="CY7" s="225">
        <v>0</v>
      </c>
      <c r="CZ7" s="2">
        <v>0</v>
      </c>
      <c r="DA7" s="225">
        <v>0</v>
      </c>
      <c r="DB7" s="225">
        <v>0</v>
      </c>
      <c r="DC7" s="225">
        <v>0</v>
      </c>
      <c r="DD7" s="225">
        <v>0</v>
      </c>
      <c r="DE7" s="225">
        <v>0</v>
      </c>
      <c r="DF7" s="2">
        <v>0</v>
      </c>
      <c r="DG7" s="225">
        <v>0</v>
      </c>
      <c r="DH7" s="2">
        <v>0</v>
      </c>
      <c r="DI7" s="225">
        <v>0</v>
      </c>
      <c r="DJ7" s="225">
        <v>0</v>
      </c>
      <c r="DK7" s="225">
        <v>0</v>
      </c>
      <c r="DL7" s="2">
        <v>0</v>
      </c>
      <c r="DM7" s="225">
        <v>0</v>
      </c>
      <c r="DN7" s="2">
        <v>0</v>
      </c>
      <c r="DO7" s="225">
        <v>0</v>
      </c>
      <c r="DP7" s="225">
        <v>0</v>
      </c>
      <c r="DQ7" s="225">
        <v>0</v>
      </c>
      <c r="DR7" s="227">
        <v>0</v>
      </c>
      <c r="DS7">
        <v>0</v>
      </c>
      <c r="DT7" s="227">
        <v>0</v>
      </c>
      <c r="DU7" s="227">
        <v>0</v>
      </c>
      <c r="DV7" s="227">
        <v>0</v>
      </c>
      <c r="DW7" s="94">
        <v>0</v>
      </c>
      <c r="DX7" s="227">
        <v>0</v>
      </c>
      <c r="DY7" s="227">
        <v>0</v>
      </c>
      <c r="DZ7" s="227">
        <v>0</v>
      </c>
      <c r="EA7" s="227">
        <v>0</v>
      </c>
      <c r="EB7" s="61">
        <v>0</v>
      </c>
      <c r="EC7" s="227">
        <v>0</v>
      </c>
      <c r="ED7" s="61">
        <v>0</v>
      </c>
      <c r="EE7" s="227">
        <v>0</v>
      </c>
      <c r="EF7" s="227">
        <v>0</v>
      </c>
      <c r="EG7" s="227">
        <v>0</v>
      </c>
      <c r="EH7" s="227">
        <v>0</v>
      </c>
      <c r="EI7" s="227">
        <v>0</v>
      </c>
      <c r="EJ7" s="227">
        <v>0</v>
      </c>
      <c r="EK7" s="227">
        <v>0</v>
      </c>
      <c r="EL7" s="227">
        <v>0</v>
      </c>
    </row>
    <row r="8" spans="1:142" x14ac:dyDescent="0.25">
      <c r="A8" s="45" t="s">
        <v>68</v>
      </c>
      <c r="B8" s="29" t="s">
        <v>486</v>
      </c>
      <c r="C8" s="29">
        <v>1</v>
      </c>
      <c r="D8" s="29">
        <v>1</v>
      </c>
      <c r="E8" s="29">
        <v>1</v>
      </c>
      <c r="F8" s="29">
        <v>1</v>
      </c>
      <c r="G8" s="29">
        <v>1</v>
      </c>
      <c r="H8" s="29" t="s">
        <v>257</v>
      </c>
      <c r="I8" s="45">
        <v>2</v>
      </c>
      <c r="J8" s="46" t="s">
        <v>261</v>
      </c>
      <c r="K8" s="47" t="s">
        <v>487</v>
      </c>
      <c r="L8" s="47">
        <v>2</v>
      </c>
      <c r="M8" s="56">
        <v>4</v>
      </c>
      <c r="N8" s="48">
        <v>1</v>
      </c>
      <c r="O8" s="197">
        <v>4</v>
      </c>
      <c r="P8" s="197">
        <v>2</v>
      </c>
      <c r="Q8" s="49">
        <v>0</v>
      </c>
      <c r="R8" s="49">
        <v>0</v>
      </c>
      <c r="S8" s="227">
        <v>3</v>
      </c>
      <c r="T8" s="50" t="s">
        <v>488</v>
      </c>
      <c r="U8" s="2">
        <v>95</v>
      </c>
      <c r="V8" s="2">
        <v>83</v>
      </c>
      <c r="W8" s="5">
        <v>70</v>
      </c>
      <c r="X8" s="29"/>
      <c r="Y8" s="29"/>
      <c r="Z8" s="29"/>
      <c r="AA8" s="67"/>
      <c r="AB8" s="67"/>
      <c r="AC8" s="67"/>
      <c r="AD8" s="67"/>
      <c r="AE8" s="67"/>
      <c r="AF8" s="45"/>
      <c r="AG8" s="45"/>
      <c r="AH8" s="51"/>
      <c r="AI8" s="51"/>
      <c r="AJ8" s="51"/>
      <c r="AK8" s="51" t="s">
        <v>25</v>
      </c>
      <c r="AL8" s="51"/>
      <c r="AM8" s="51"/>
      <c r="AN8" s="51"/>
      <c r="AO8" s="51"/>
      <c r="AQ8" s="75" t="s">
        <v>565</v>
      </c>
      <c r="AR8" s="75" t="s">
        <v>565</v>
      </c>
      <c r="AU8" s="29">
        <v>0.19741361928091</v>
      </c>
      <c r="AV8" s="227">
        <v>1.9756315825703901</v>
      </c>
      <c r="AW8" s="52">
        <v>0.13848191547217276</v>
      </c>
      <c r="AX8" s="52">
        <v>2.4915013113741931</v>
      </c>
      <c r="AY8" s="52">
        <v>0.66974988760257814</v>
      </c>
      <c r="AZ8" s="52">
        <v>1.1337903651129613</v>
      </c>
      <c r="BA8" s="52">
        <v>6.5187530375616198</v>
      </c>
      <c r="BB8" s="52">
        <v>2.7922418169936232</v>
      </c>
      <c r="BC8" s="52">
        <v>0.94152596651330955</v>
      </c>
      <c r="BD8" s="52">
        <v>1.3187119794726492</v>
      </c>
      <c r="BE8" s="2">
        <v>1.36459918303908E-3</v>
      </c>
      <c r="BF8" s="65">
        <v>0.65</v>
      </c>
      <c r="BG8" s="2" t="s">
        <v>489</v>
      </c>
      <c r="BH8" s="2">
        <v>3.23</v>
      </c>
      <c r="BI8" s="2">
        <v>1</v>
      </c>
      <c r="BJ8" s="2">
        <v>18</v>
      </c>
      <c r="BK8" s="2">
        <v>0.75</v>
      </c>
      <c r="BL8" s="2">
        <v>0.19</v>
      </c>
      <c r="BM8" s="1" t="s">
        <v>555</v>
      </c>
      <c r="BN8" s="29" t="s">
        <v>513</v>
      </c>
      <c r="BO8" s="29" t="s">
        <v>492</v>
      </c>
      <c r="BP8" s="29">
        <v>67</v>
      </c>
      <c r="BQ8" s="29">
        <v>0</v>
      </c>
      <c r="BR8" s="90" t="s">
        <v>583</v>
      </c>
      <c r="BS8" s="29" t="s">
        <v>2</v>
      </c>
      <c r="BT8" s="29" t="s">
        <v>584</v>
      </c>
      <c r="BU8" s="29" t="s">
        <v>515</v>
      </c>
      <c r="BV8" s="29" t="s">
        <v>528</v>
      </c>
      <c r="BW8" s="71" t="s">
        <v>529</v>
      </c>
      <c r="BX8" s="29" t="s">
        <v>585</v>
      </c>
      <c r="BY8" s="29">
        <v>1</v>
      </c>
      <c r="BZ8" s="29">
        <v>4</v>
      </c>
      <c r="CA8" s="29">
        <v>203</v>
      </c>
      <c r="CB8" s="225">
        <v>0.7</v>
      </c>
      <c r="CC8" s="2" t="s">
        <v>518</v>
      </c>
      <c r="CD8" s="29" t="s">
        <v>519</v>
      </c>
      <c r="CE8" s="55" t="s">
        <v>544</v>
      </c>
      <c r="CF8" s="29" t="s">
        <v>519</v>
      </c>
      <c r="CG8" s="29" t="s">
        <v>503</v>
      </c>
      <c r="CH8" s="29" t="s">
        <v>534</v>
      </c>
      <c r="CI8" s="29" t="s">
        <v>535</v>
      </c>
      <c r="CJ8" s="4" t="s">
        <v>586</v>
      </c>
      <c r="CK8" s="29">
        <v>2</v>
      </c>
      <c r="CL8" s="29">
        <v>0.8</v>
      </c>
      <c r="CM8" s="29" t="s">
        <v>587</v>
      </c>
      <c r="CN8" s="29" t="s">
        <v>509</v>
      </c>
      <c r="CO8" s="29" t="s">
        <v>509</v>
      </c>
      <c r="CP8" s="29" t="s">
        <v>509</v>
      </c>
      <c r="CQ8" s="29" t="s">
        <v>510</v>
      </c>
      <c r="CR8" s="29">
        <v>0</v>
      </c>
      <c r="CS8" s="29" t="s">
        <v>509</v>
      </c>
      <c r="CT8" s="55" t="s">
        <v>511</v>
      </c>
      <c r="CU8" s="47">
        <v>1</v>
      </c>
      <c r="CV8" s="56">
        <v>1</v>
      </c>
      <c r="CW8" s="47">
        <v>1</v>
      </c>
      <c r="CX8" s="47">
        <v>1</v>
      </c>
      <c r="CY8" s="56">
        <v>1</v>
      </c>
      <c r="CZ8" s="56">
        <v>1</v>
      </c>
      <c r="DA8" s="225">
        <v>0</v>
      </c>
      <c r="DB8" s="47">
        <v>1</v>
      </c>
      <c r="DC8" s="56">
        <v>1</v>
      </c>
      <c r="DD8" s="225">
        <v>0</v>
      </c>
      <c r="DE8" s="225">
        <v>0</v>
      </c>
      <c r="DF8" s="2">
        <v>0</v>
      </c>
      <c r="DG8" s="2">
        <v>0</v>
      </c>
      <c r="DH8" s="47">
        <v>1</v>
      </c>
      <c r="DI8" s="225">
        <v>0</v>
      </c>
      <c r="DJ8" s="225">
        <v>0</v>
      </c>
      <c r="DK8" s="225">
        <v>0</v>
      </c>
      <c r="DL8" s="56">
        <v>1</v>
      </c>
      <c r="DM8" s="47">
        <v>1</v>
      </c>
      <c r="DN8" s="56">
        <v>1</v>
      </c>
      <c r="DO8" s="47">
        <v>1</v>
      </c>
      <c r="DP8" s="2">
        <v>0</v>
      </c>
      <c r="DQ8" s="56">
        <v>1</v>
      </c>
      <c r="DR8" s="57">
        <v>6.6103894954022101E-3</v>
      </c>
      <c r="DS8" s="227">
        <v>0</v>
      </c>
      <c r="DT8" s="227">
        <v>0</v>
      </c>
      <c r="DU8" s="57">
        <v>1.34057162443472E-2</v>
      </c>
      <c r="DV8" s="60">
        <v>0.12727120021436</v>
      </c>
      <c r="DW8" s="59">
        <v>0.15239207575087099</v>
      </c>
      <c r="DX8" s="227">
        <v>0</v>
      </c>
      <c r="DY8" s="57">
        <v>6.5378512306669301E-2</v>
      </c>
      <c r="DZ8" s="57">
        <v>5.4792067142254298E-2</v>
      </c>
      <c r="EA8" s="57">
        <v>1.61748440928004E-2</v>
      </c>
      <c r="EB8" s="57">
        <v>6.5368180039983903E-2</v>
      </c>
      <c r="EC8" s="60">
        <v>0.119932961108542</v>
      </c>
      <c r="ED8" s="57">
        <v>7.7070735054992498E-2</v>
      </c>
      <c r="EE8" s="227">
        <v>0</v>
      </c>
      <c r="EF8" s="57">
        <v>3.2208016200867801E-2</v>
      </c>
      <c r="EG8" s="57">
        <v>2.7035889746918899E-2</v>
      </c>
      <c r="EH8" s="57">
        <v>4.15326130738468E-2</v>
      </c>
      <c r="EI8" s="57">
        <v>6.0773679338767199E-2</v>
      </c>
      <c r="EJ8" s="57">
        <v>6.4273028635033702E-2</v>
      </c>
      <c r="EK8" s="57">
        <v>2.7151263436707401E-2</v>
      </c>
      <c r="EL8" s="57">
        <v>4.8628828117635997E-2</v>
      </c>
    </row>
    <row r="9" spans="1:142" x14ac:dyDescent="0.25">
      <c r="A9" s="45" t="s">
        <v>70</v>
      </c>
      <c r="B9" s="29" t="s">
        <v>486</v>
      </c>
      <c r="C9" s="29">
        <v>1</v>
      </c>
      <c r="D9" s="29">
        <v>1</v>
      </c>
      <c r="E9" s="29">
        <v>1</v>
      </c>
      <c r="F9" s="29">
        <v>1</v>
      </c>
      <c r="G9" s="29">
        <v>1</v>
      </c>
      <c r="H9" s="45">
        <v>1</v>
      </c>
      <c r="I9" s="45">
        <v>1</v>
      </c>
      <c r="J9" s="84" t="s">
        <v>78</v>
      </c>
      <c r="K9" s="47" t="s">
        <v>487</v>
      </c>
      <c r="L9" s="74">
        <v>3</v>
      </c>
      <c r="M9" s="47">
        <v>1</v>
      </c>
      <c r="N9" s="48">
        <v>1</v>
      </c>
      <c r="O9" s="197">
        <v>4</v>
      </c>
      <c r="P9" s="197">
        <v>2</v>
      </c>
      <c r="Q9" s="49">
        <v>0</v>
      </c>
      <c r="R9" s="49">
        <v>0</v>
      </c>
      <c r="S9" s="227">
        <v>1</v>
      </c>
      <c r="T9" s="50" t="s">
        <v>612</v>
      </c>
      <c r="U9" s="2">
        <v>94</v>
      </c>
      <c r="V9" s="2">
        <v>75</v>
      </c>
      <c r="W9" s="5">
        <v>52</v>
      </c>
      <c r="X9" s="29"/>
      <c r="Y9" s="51"/>
      <c r="Z9" s="51"/>
      <c r="AA9" s="67"/>
      <c r="AB9" s="67"/>
      <c r="AC9" s="67"/>
      <c r="AD9" s="67"/>
      <c r="AE9" s="67"/>
      <c r="AF9" s="67"/>
      <c r="AG9" s="51"/>
      <c r="AH9" s="51"/>
      <c r="AI9" s="51"/>
      <c r="AJ9" s="51"/>
      <c r="AK9" s="64"/>
      <c r="AL9" s="51"/>
      <c r="AM9" s="51"/>
      <c r="AN9" s="51"/>
      <c r="AO9" s="51"/>
      <c r="AU9" s="29">
        <v>3.2256333550921598E-2</v>
      </c>
      <c r="AV9" s="227">
        <v>1.3224417368425101</v>
      </c>
      <c r="AW9" s="52">
        <v>0.20436446250951343</v>
      </c>
      <c r="AX9" s="52">
        <v>0.38230896070874681</v>
      </c>
      <c r="AY9" s="52">
        <v>0.43114879120022714</v>
      </c>
      <c r="AZ9" s="52">
        <v>1.2964211070910807</v>
      </c>
      <c r="BA9" s="52">
        <v>1.1918670305368653</v>
      </c>
      <c r="BB9" s="52">
        <v>0.51958825156091448</v>
      </c>
      <c r="BC9" s="52">
        <v>1.1479213904016614</v>
      </c>
      <c r="BD9" s="52">
        <v>1.5728592681466922</v>
      </c>
      <c r="BE9" s="2" t="s">
        <v>71</v>
      </c>
      <c r="BF9" s="65">
        <v>0.61</v>
      </c>
      <c r="BG9" s="2" t="s">
        <v>489</v>
      </c>
      <c r="BH9" s="2">
        <v>2</v>
      </c>
      <c r="BI9" s="2">
        <v>0</v>
      </c>
      <c r="BJ9" s="227">
        <v>13</v>
      </c>
      <c r="BK9" s="227">
        <v>0.61</v>
      </c>
      <c r="BL9" s="227">
        <v>0</v>
      </c>
      <c r="BM9" s="1" t="s">
        <v>555</v>
      </c>
      <c r="BN9" s="29" t="s">
        <v>607</v>
      </c>
      <c r="BO9" s="29" t="s">
        <v>514</v>
      </c>
      <c r="BP9" s="29">
        <v>41</v>
      </c>
      <c r="BQ9" s="29" t="s">
        <v>0</v>
      </c>
      <c r="BR9" s="225" t="s">
        <v>493</v>
      </c>
      <c r="BS9" s="29" t="s">
        <v>494</v>
      </c>
      <c r="BT9" s="29" t="s">
        <v>495</v>
      </c>
      <c r="BU9" s="29" t="s">
        <v>4</v>
      </c>
      <c r="BV9" s="29" t="s">
        <v>496</v>
      </c>
      <c r="BW9" s="29" t="s">
        <v>497</v>
      </c>
      <c r="BX9" s="29" t="s">
        <v>498</v>
      </c>
      <c r="BY9" s="29">
        <v>0</v>
      </c>
      <c r="BZ9" s="29" t="s">
        <v>499</v>
      </c>
      <c r="CA9" s="29">
        <v>29</v>
      </c>
      <c r="CB9" s="225">
        <v>0.3</v>
      </c>
      <c r="CC9" s="2" t="s">
        <v>499</v>
      </c>
      <c r="CD9" s="29" t="s">
        <v>519</v>
      </c>
      <c r="CE9" s="29" t="s">
        <v>502</v>
      </c>
      <c r="CF9" s="29" t="s">
        <v>519</v>
      </c>
      <c r="CG9" s="29" t="s">
        <v>533</v>
      </c>
      <c r="CH9" s="29" t="s">
        <v>534</v>
      </c>
      <c r="CI9" s="29" t="s">
        <v>519</v>
      </c>
      <c r="CJ9" s="4">
        <v>519</v>
      </c>
      <c r="CK9" s="29">
        <v>2</v>
      </c>
      <c r="CL9" s="29">
        <v>0.5</v>
      </c>
      <c r="CM9" s="29" t="s">
        <v>552</v>
      </c>
      <c r="CN9" s="29" t="s">
        <v>509</v>
      </c>
      <c r="CO9" s="29" t="s">
        <v>509</v>
      </c>
      <c r="CP9" s="29" t="s">
        <v>509</v>
      </c>
      <c r="CQ9" s="29" t="s">
        <v>548</v>
      </c>
      <c r="CR9" s="29">
        <v>0</v>
      </c>
      <c r="CS9" s="29" t="s">
        <v>509</v>
      </c>
      <c r="CT9" s="29" t="s">
        <v>509</v>
      </c>
      <c r="CU9" s="225">
        <v>0</v>
      </c>
      <c r="CV9" s="225">
        <v>0</v>
      </c>
      <c r="CW9" s="225">
        <v>0</v>
      </c>
      <c r="CX9" s="225">
        <v>0</v>
      </c>
      <c r="CY9" s="2">
        <v>0</v>
      </c>
      <c r="CZ9" s="2">
        <v>0</v>
      </c>
      <c r="DA9" s="225">
        <v>0</v>
      </c>
      <c r="DB9" s="225">
        <v>0</v>
      </c>
      <c r="DC9" s="2">
        <v>0</v>
      </c>
      <c r="DD9" s="2">
        <v>0</v>
      </c>
      <c r="DE9" s="2">
        <v>0</v>
      </c>
      <c r="DF9" s="2">
        <v>0</v>
      </c>
      <c r="DG9" s="2">
        <v>0</v>
      </c>
      <c r="DH9" s="225">
        <v>0</v>
      </c>
      <c r="DI9" s="225">
        <v>0</v>
      </c>
      <c r="DJ9" s="225">
        <v>0</v>
      </c>
      <c r="DK9" s="225">
        <v>0</v>
      </c>
      <c r="DL9" s="225">
        <v>0</v>
      </c>
      <c r="DM9" s="225">
        <v>0</v>
      </c>
      <c r="DN9" s="2">
        <v>0</v>
      </c>
      <c r="DO9" s="2">
        <v>0</v>
      </c>
      <c r="DP9" s="2">
        <v>0</v>
      </c>
      <c r="DQ9" s="2">
        <v>0</v>
      </c>
      <c r="DR9" s="227">
        <v>0</v>
      </c>
      <c r="DS9" s="227">
        <v>0</v>
      </c>
      <c r="DT9" s="227">
        <v>0</v>
      </c>
      <c r="DU9" s="73">
        <v>0.235515229158861</v>
      </c>
      <c r="DV9" s="60">
        <v>0.116397477029034</v>
      </c>
      <c r="DW9" s="66">
        <v>9.4263246223868294E-2</v>
      </c>
      <c r="DX9" s="61">
        <v>0</v>
      </c>
      <c r="DY9" s="57">
        <v>3.9906779199518697E-2</v>
      </c>
      <c r="DZ9" s="79">
        <v>0.29558115266676699</v>
      </c>
      <c r="EA9" s="57">
        <v>9.4973703864807896E-4</v>
      </c>
      <c r="EB9" s="61">
        <v>0</v>
      </c>
      <c r="EC9" s="57">
        <v>1.3434246224129E-2</v>
      </c>
      <c r="ED9" s="57">
        <v>4.1359305486486697E-2</v>
      </c>
      <c r="EE9" s="57">
        <v>8.7517297642896993E-2</v>
      </c>
      <c r="EF9" s="227">
        <v>0</v>
      </c>
      <c r="EG9" s="57">
        <v>9.3897596361586406E-3</v>
      </c>
      <c r="EH9" s="227">
        <v>0</v>
      </c>
      <c r="EI9" s="61">
        <v>0</v>
      </c>
      <c r="EJ9" s="57">
        <v>3.2458608548520097E-2</v>
      </c>
      <c r="EK9" s="57">
        <v>1.6070841765937899E-2</v>
      </c>
      <c r="EL9" s="57">
        <v>1.71563193791744E-2</v>
      </c>
    </row>
    <row r="10" spans="1:142" x14ac:dyDescent="0.25">
      <c r="A10" s="45" t="s">
        <v>72</v>
      </c>
      <c r="B10" s="29" t="s">
        <v>486</v>
      </c>
      <c r="C10" s="29">
        <v>1</v>
      </c>
      <c r="D10" s="29">
        <v>1</v>
      </c>
      <c r="E10" s="29">
        <v>1</v>
      </c>
      <c r="F10" s="29">
        <v>1</v>
      </c>
      <c r="G10" s="29">
        <v>1</v>
      </c>
      <c r="H10" s="29" t="s">
        <v>257</v>
      </c>
      <c r="I10" s="45">
        <v>2</v>
      </c>
      <c r="J10" s="46" t="s">
        <v>261</v>
      </c>
      <c r="K10" s="47" t="s">
        <v>487</v>
      </c>
      <c r="L10" s="47">
        <v>2</v>
      </c>
      <c r="M10" s="47">
        <v>1</v>
      </c>
      <c r="N10" s="48">
        <v>1</v>
      </c>
      <c r="O10" s="197">
        <v>2</v>
      </c>
      <c r="P10" s="197">
        <v>2</v>
      </c>
      <c r="Q10" s="49">
        <v>0</v>
      </c>
      <c r="R10" s="49">
        <v>0</v>
      </c>
      <c r="S10" s="29"/>
      <c r="T10" s="50">
        <v>6</v>
      </c>
      <c r="U10" s="2">
        <v>63</v>
      </c>
      <c r="V10" s="2">
        <v>58</v>
      </c>
      <c r="W10" s="5">
        <v>47</v>
      </c>
      <c r="X10" s="29"/>
      <c r="Y10" s="51"/>
      <c r="Z10" s="51"/>
      <c r="AA10" s="67"/>
      <c r="AB10" s="67"/>
      <c r="AC10" s="67"/>
      <c r="AD10" s="67"/>
      <c r="AE10" s="67"/>
      <c r="AF10" s="68" t="s">
        <v>614</v>
      </c>
      <c r="AG10" s="51"/>
      <c r="AH10" s="103"/>
      <c r="AI10" s="97"/>
      <c r="AJ10" s="51"/>
      <c r="AK10" s="51"/>
      <c r="AL10" s="51"/>
      <c r="AM10" s="51"/>
      <c r="AN10" s="51"/>
      <c r="AO10" s="33" t="s">
        <v>58</v>
      </c>
      <c r="AU10" s="29">
        <v>0.49231596106353998</v>
      </c>
      <c r="AV10" s="227">
        <v>5.1796272075751704</v>
      </c>
      <c r="AW10" s="52">
        <v>5.4687994629866115</v>
      </c>
      <c r="AX10" s="52">
        <v>2.3146374724418961</v>
      </c>
      <c r="AY10" s="52">
        <v>1.2389036983358783</v>
      </c>
      <c r="AZ10" s="52">
        <v>0.66513519125194565</v>
      </c>
      <c r="BA10" s="52">
        <v>1.6387664084393283</v>
      </c>
      <c r="BB10" s="52">
        <v>1.9085476798754479</v>
      </c>
      <c r="BC10" s="52">
        <v>1.0291767908036684</v>
      </c>
      <c r="BD10" s="52">
        <v>0.86564098942901524</v>
      </c>
      <c r="BE10" s="2">
        <v>5.3358028803600398E-4</v>
      </c>
      <c r="BF10" s="53">
        <v>0.28000000000000003</v>
      </c>
      <c r="BG10" s="2" t="s">
        <v>489</v>
      </c>
      <c r="BH10" s="2">
        <v>1.85</v>
      </c>
      <c r="BI10" s="2">
        <v>0</v>
      </c>
      <c r="BJ10" s="2">
        <v>37</v>
      </c>
      <c r="BK10" s="2">
        <v>0.26</v>
      </c>
      <c r="BL10" s="2">
        <v>0.05</v>
      </c>
      <c r="BM10" s="1" t="s">
        <v>555</v>
      </c>
      <c r="BN10" s="29" t="s">
        <v>513</v>
      </c>
      <c r="BO10" s="29" t="s">
        <v>492</v>
      </c>
      <c r="BP10" s="29">
        <v>51</v>
      </c>
      <c r="BQ10" s="29" t="s">
        <v>0</v>
      </c>
      <c r="BR10" s="225" t="s">
        <v>493</v>
      </c>
      <c r="BS10" s="29" t="s">
        <v>568</v>
      </c>
      <c r="BT10" s="29" t="s">
        <v>495</v>
      </c>
      <c r="BU10" s="45" t="s">
        <v>4</v>
      </c>
      <c r="BV10" s="45" t="s">
        <v>516</v>
      </c>
      <c r="BW10" s="29" t="s">
        <v>556</v>
      </c>
      <c r="BX10" s="29" t="s">
        <v>498</v>
      </c>
      <c r="BY10" s="29">
        <v>0</v>
      </c>
      <c r="BZ10" s="29">
        <v>1.9</v>
      </c>
      <c r="CA10" s="29">
        <v>115</v>
      </c>
      <c r="CB10" s="225">
        <v>0.4</v>
      </c>
      <c r="CC10" s="2" t="s">
        <v>500</v>
      </c>
      <c r="CD10" s="29" t="s">
        <v>501</v>
      </c>
      <c r="CE10" s="29" t="s">
        <v>502</v>
      </c>
      <c r="CF10" s="29" t="s">
        <v>501</v>
      </c>
      <c r="CG10" s="29" t="s">
        <v>503</v>
      </c>
      <c r="CH10" s="29" t="s">
        <v>534</v>
      </c>
      <c r="CI10" s="29" t="s">
        <v>501</v>
      </c>
      <c r="CJ10" s="4" t="s">
        <v>615</v>
      </c>
      <c r="CK10" s="29">
        <v>4</v>
      </c>
      <c r="CL10" s="29">
        <v>0</v>
      </c>
      <c r="CM10" s="29" t="s">
        <v>616</v>
      </c>
      <c r="CN10" s="29" t="s">
        <v>523</v>
      </c>
      <c r="CO10" s="29" t="s">
        <v>508</v>
      </c>
      <c r="CP10" s="29" t="s">
        <v>508</v>
      </c>
      <c r="CQ10" s="29" t="s">
        <v>548</v>
      </c>
      <c r="CR10" s="29" t="s">
        <v>566</v>
      </c>
      <c r="CS10" s="29" t="s">
        <v>509</v>
      </c>
      <c r="CT10" s="29" t="s">
        <v>509</v>
      </c>
      <c r="CU10" s="225">
        <v>0</v>
      </c>
      <c r="CV10" s="225">
        <v>0</v>
      </c>
      <c r="CW10" s="225">
        <v>0</v>
      </c>
      <c r="CX10" s="2">
        <v>0</v>
      </c>
      <c r="CY10" s="2">
        <v>0</v>
      </c>
      <c r="CZ10" s="225">
        <v>0</v>
      </c>
      <c r="DA10" s="225">
        <v>0</v>
      </c>
      <c r="DB10" s="2">
        <v>0</v>
      </c>
      <c r="DC10" s="225">
        <v>0</v>
      </c>
      <c r="DD10" s="47">
        <v>1</v>
      </c>
      <c r="DE10" s="225">
        <v>0</v>
      </c>
      <c r="DF10" s="2">
        <v>0</v>
      </c>
      <c r="DG10" s="225">
        <v>0</v>
      </c>
      <c r="DH10" s="225">
        <v>0</v>
      </c>
      <c r="DI10" s="225">
        <v>0</v>
      </c>
      <c r="DJ10" s="47">
        <v>1</v>
      </c>
      <c r="DK10" s="2">
        <v>0</v>
      </c>
      <c r="DL10" s="2">
        <v>0</v>
      </c>
      <c r="DM10" s="2">
        <v>0</v>
      </c>
      <c r="DN10" s="225">
        <v>0</v>
      </c>
      <c r="DO10" s="47">
        <v>1</v>
      </c>
      <c r="DP10" s="225">
        <v>0</v>
      </c>
      <c r="DQ10" s="2">
        <v>0</v>
      </c>
      <c r="DR10" s="227">
        <v>0</v>
      </c>
      <c r="DS10" s="57">
        <v>4.3779414708452598E-2</v>
      </c>
      <c r="DT10" s="57">
        <v>1.0528483759751499E-2</v>
      </c>
      <c r="DU10" s="57">
        <v>8.2541291750996296E-2</v>
      </c>
      <c r="DV10" s="57">
        <v>9.2795605334676096E-2</v>
      </c>
      <c r="DW10" s="73">
        <v>0.21380708534602699</v>
      </c>
      <c r="DX10" s="60">
        <v>0.13269393323863601</v>
      </c>
      <c r="DY10" s="57">
        <v>8.52419926430769E-2</v>
      </c>
      <c r="DZ10" s="227">
        <v>0</v>
      </c>
      <c r="EA10" s="57">
        <v>3.0322819702721101E-2</v>
      </c>
      <c r="EB10" s="57">
        <v>2.89511710830745E-2</v>
      </c>
      <c r="EC10" s="57">
        <v>4.7889928106131397E-3</v>
      </c>
      <c r="ED10" s="57">
        <v>6.0840653988897202E-2</v>
      </c>
      <c r="EE10" s="57">
        <v>2.3027529214471799E-2</v>
      </c>
      <c r="EF10" s="57">
        <v>4.0648061805883602E-2</v>
      </c>
      <c r="EG10" s="61">
        <v>0</v>
      </c>
      <c r="EH10" s="57">
        <v>2.73587928279229E-2</v>
      </c>
      <c r="EI10" s="57">
        <v>2.77928560072291E-2</v>
      </c>
      <c r="EJ10" s="57">
        <v>6.3700526382789599E-2</v>
      </c>
      <c r="EK10" s="61">
        <v>0</v>
      </c>
      <c r="EL10" s="57">
        <v>3.1180789394781101E-2</v>
      </c>
    </row>
    <row r="11" spans="1:142" x14ac:dyDescent="0.25">
      <c r="A11" s="29" t="s">
        <v>42</v>
      </c>
      <c r="B11" s="29" t="s">
        <v>486</v>
      </c>
      <c r="C11" s="29">
        <v>1</v>
      </c>
      <c r="D11" s="29">
        <v>1</v>
      </c>
      <c r="E11" s="29">
        <v>1</v>
      </c>
      <c r="F11" s="29">
        <v>1</v>
      </c>
      <c r="G11" s="29">
        <v>1</v>
      </c>
      <c r="H11" s="29">
        <v>1</v>
      </c>
      <c r="I11" s="45">
        <v>2</v>
      </c>
      <c r="J11" s="2" t="s">
        <v>27</v>
      </c>
      <c r="K11" s="62" t="s">
        <v>20</v>
      </c>
      <c r="L11" s="62">
        <v>1</v>
      </c>
      <c r="M11" s="62">
        <v>2</v>
      </c>
      <c r="N11" s="63">
        <v>4</v>
      </c>
      <c r="O11" s="197">
        <v>1</v>
      </c>
      <c r="P11" s="197">
        <v>3</v>
      </c>
      <c r="Q11" s="49">
        <v>0</v>
      </c>
      <c r="R11" s="49">
        <v>0</v>
      </c>
      <c r="S11" s="227">
        <v>1</v>
      </c>
      <c r="T11" s="50" t="s">
        <v>488</v>
      </c>
      <c r="U11" s="2">
        <v>65</v>
      </c>
      <c r="V11" s="2">
        <v>55</v>
      </c>
      <c r="W11" s="5">
        <v>46</v>
      </c>
      <c r="X11" s="29"/>
      <c r="Y11" s="29"/>
      <c r="Z11" s="63" t="s">
        <v>43</v>
      </c>
      <c r="AA11" s="51"/>
      <c r="AB11" s="51"/>
      <c r="AC11" s="64"/>
      <c r="AD11" s="51"/>
      <c r="AE11" s="51"/>
      <c r="AF11" s="51"/>
      <c r="AG11" s="51"/>
      <c r="AH11" s="51"/>
      <c r="AI11" s="51"/>
      <c r="AJ11" s="51"/>
      <c r="AK11" s="51"/>
      <c r="AL11" s="51"/>
      <c r="AM11" s="51"/>
      <c r="AN11" s="51"/>
      <c r="AO11" s="33" t="s">
        <v>512</v>
      </c>
      <c r="AS11" s="77" t="s">
        <v>58</v>
      </c>
      <c r="AU11" s="29">
        <v>0.117613976507873</v>
      </c>
      <c r="AV11" s="227">
        <v>18.003258300635601</v>
      </c>
      <c r="AW11" s="52">
        <v>1.0992276817557722</v>
      </c>
      <c r="AX11" s="52">
        <v>0.83879384544090529</v>
      </c>
      <c r="AY11" s="52">
        <v>3.2636234165354918</v>
      </c>
      <c r="AZ11" s="52">
        <v>0.8707152055633538</v>
      </c>
      <c r="BA11" s="52">
        <v>1.9945482644902992</v>
      </c>
      <c r="BB11" s="52">
        <v>0.73209286624722814</v>
      </c>
      <c r="BC11" s="52">
        <v>1.7374261734089456</v>
      </c>
      <c r="BD11" s="52">
        <v>0.86508953090146512</v>
      </c>
      <c r="BE11" s="225">
        <v>9.0451496914243496E-4</v>
      </c>
      <c r="BF11" s="65">
        <v>0.79</v>
      </c>
      <c r="BG11" s="2" t="s">
        <v>489</v>
      </c>
      <c r="BH11" s="225">
        <v>1.89</v>
      </c>
      <c r="BI11" s="2">
        <v>0</v>
      </c>
      <c r="BJ11" s="2">
        <v>10</v>
      </c>
      <c r="BK11" s="2">
        <v>0.78</v>
      </c>
      <c r="BL11" s="2">
        <v>0.08</v>
      </c>
      <c r="BM11" s="1" t="s">
        <v>490</v>
      </c>
      <c r="BN11" s="29" t="s">
        <v>513</v>
      </c>
      <c r="BO11" s="29" t="s">
        <v>514</v>
      </c>
      <c r="BP11" s="29">
        <v>50</v>
      </c>
      <c r="BQ11" s="29">
        <v>1</v>
      </c>
      <c r="BR11" s="54" t="s">
        <v>493</v>
      </c>
      <c r="BS11" s="29" t="s">
        <v>494</v>
      </c>
      <c r="BT11" s="29" t="s">
        <v>495</v>
      </c>
      <c r="BU11" s="45" t="s">
        <v>515</v>
      </c>
      <c r="BV11" s="45" t="s">
        <v>516</v>
      </c>
      <c r="BW11" s="29" t="s">
        <v>497</v>
      </c>
      <c r="BX11" s="29" t="s">
        <v>517</v>
      </c>
      <c r="BY11" s="29">
        <v>0</v>
      </c>
      <c r="BZ11" s="29">
        <v>5.4</v>
      </c>
      <c r="CA11" s="29">
        <v>8</v>
      </c>
      <c r="CB11" s="29" t="s">
        <v>3</v>
      </c>
      <c r="CC11" s="225" t="s">
        <v>518</v>
      </c>
      <c r="CD11" s="29" t="s">
        <v>501</v>
      </c>
      <c r="CE11" s="29" t="s">
        <v>502</v>
      </c>
      <c r="CF11" s="29" t="s">
        <v>519</v>
      </c>
      <c r="CG11" s="29" t="s">
        <v>503</v>
      </c>
      <c r="CH11" s="55" t="s">
        <v>520</v>
      </c>
      <c r="CI11" s="29" t="s">
        <v>501</v>
      </c>
      <c r="CJ11" s="4" t="s">
        <v>521</v>
      </c>
      <c r="CK11" s="29">
        <v>2</v>
      </c>
      <c r="CL11" s="29">
        <v>0.75</v>
      </c>
      <c r="CM11" s="29" t="s">
        <v>522</v>
      </c>
      <c r="CN11" s="29" t="s">
        <v>523</v>
      </c>
      <c r="CO11" s="29" t="s">
        <v>508</v>
      </c>
      <c r="CP11" s="29" t="s">
        <v>508</v>
      </c>
      <c r="CQ11" s="29" t="s">
        <v>510</v>
      </c>
      <c r="CR11" s="29" t="s">
        <v>524</v>
      </c>
      <c r="CS11" s="29" t="s">
        <v>509</v>
      </c>
      <c r="CT11" s="55" t="s">
        <v>511</v>
      </c>
      <c r="CU11" s="47">
        <v>1</v>
      </c>
      <c r="CV11" s="56">
        <v>1</v>
      </c>
      <c r="CW11" s="47">
        <v>1</v>
      </c>
      <c r="CX11" s="225">
        <v>0</v>
      </c>
      <c r="CY11" s="225">
        <v>0</v>
      </c>
      <c r="CZ11" s="2">
        <v>0</v>
      </c>
      <c r="DA11" s="47">
        <v>1</v>
      </c>
      <c r="DB11" s="225">
        <v>0</v>
      </c>
      <c r="DC11" s="2">
        <v>0</v>
      </c>
      <c r="DD11" s="2">
        <v>0</v>
      </c>
      <c r="DE11" s="225">
        <v>0</v>
      </c>
      <c r="DF11" s="225">
        <v>0</v>
      </c>
      <c r="DG11" s="225">
        <v>0</v>
      </c>
      <c r="DH11" s="225">
        <v>0</v>
      </c>
      <c r="DI11" s="225">
        <v>0</v>
      </c>
      <c r="DJ11" s="47">
        <v>1</v>
      </c>
      <c r="DK11" s="225">
        <v>0</v>
      </c>
      <c r="DL11" s="2">
        <v>0</v>
      </c>
      <c r="DM11" s="47">
        <v>1</v>
      </c>
      <c r="DN11" s="2">
        <v>0</v>
      </c>
      <c r="DO11" s="225">
        <v>0</v>
      </c>
      <c r="DP11" s="225">
        <v>0</v>
      </c>
      <c r="DQ11" s="2">
        <v>0</v>
      </c>
      <c r="DR11" s="60">
        <v>0.110980764560294</v>
      </c>
      <c r="DS11">
        <v>0</v>
      </c>
      <c r="DT11" s="57">
        <v>2.33709190259445E-3</v>
      </c>
      <c r="DU11" s="227">
        <v>0</v>
      </c>
      <c r="DV11" s="60">
        <v>0.135987644994542</v>
      </c>
      <c r="DW11" s="66">
        <v>9.2275518327908798E-2</v>
      </c>
      <c r="DX11" s="61">
        <v>0</v>
      </c>
      <c r="DY11" s="57">
        <v>7.5648313074832399E-2</v>
      </c>
      <c r="DZ11" s="227">
        <v>0</v>
      </c>
      <c r="EA11" s="57">
        <v>3.1739897359020199E-2</v>
      </c>
      <c r="EB11" s="57">
        <v>9.8471322875826106E-2</v>
      </c>
      <c r="EC11" s="57">
        <v>8.6739184640250905E-2</v>
      </c>
      <c r="ED11" s="57">
        <v>6.9925320063941199E-2</v>
      </c>
      <c r="EE11" s="57">
        <v>5.7018075743492597E-3</v>
      </c>
      <c r="EF11" s="227">
        <v>0</v>
      </c>
      <c r="EG11" s="57">
        <v>2.43075437837597E-2</v>
      </c>
      <c r="EH11" s="57">
        <v>8.3008897877053595E-2</v>
      </c>
      <c r="EI11" s="60">
        <v>0.13748055523944899</v>
      </c>
      <c r="EJ11" s="57">
        <v>3.0187649872706599E-3</v>
      </c>
      <c r="EK11" s="61">
        <v>0</v>
      </c>
      <c r="EL11" s="57">
        <v>4.2377372738908702E-2</v>
      </c>
    </row>
    <row r="12" spans="1:142" x14ac:dyDescent="0.25">
      <c r="A12" s="45" t="s">
        <v>63</v>
      </c>
      <c r="B12" s="29" t="s">
        <v>486</v>
      </c>
      <c r="C12" s="29">
        <v>1</v>
      </c>
      <c r="D12" s="29">
        <v>1</v>
      </c>
      <c r="E12" s="29">
        <v>1</v>
      </c>
      <c r="F12" s="29">
        <v>1</v>
      </c>
      <c r="G12" s="29">
        <v>1</v>
      </c>
      <c r="H12" s="29">
        <v>1</v>
      </c>
      <c r="I12" s="45">
        <v>2</v>
      </c>
      <c r="J12" s="2" t="s">
        <v>27</v>
      </c>
      <c r="K12" s="62" t="s">
        <v>20</v>
      </c>
      <c r="L12" s="62">
        <v>1</v>
      </c>
      <c r="M12" s="62">
        <v>2</v>
      </c>
      <c r="N12" s="75">
        <v>3</v>
      </c>
      <c r="O12" s="197">
        <v>1</v>
      </c>
      <c r="P12" s="197">
        <v>4</v>
      </c>
      <c r="Q12" s="49">
        <v>0</v>
      </c>
      <c r="R12" s="49">
        <v>0</v>
      </c>
      <c r="S12" s="227">
        <v>2</v>
      </c>
      <c r="T12" s="50">
        <v>6</v>
      </c>
      <c r="U12" s="2">
        <v>66</v>
      </c>
      <c r="V12" s="2">
        <v>59</v>
      </c>
      <c r="W12" s="5">
        <v>49</v>
      </c>
      <c r="X12" s="194"/>
      <c r="Y12" s="29"/>
      <c r="Z12" s="29"/>
      <c r="AA12" s="80" t="s">
        <v>64</v>
      </c>
      <c r="AB12" s="76" t="s">
        <v>553</v>
      </c>
      <c r="AC12" s="81" t="s">
        <v>33</v>
      </c>
      <c r="AD12" s="67"/>
      <c r="AE12" s="45"/>
      <c r="AF12" s="45"/>
      <c r="AG12" s="82"/>
      <c r="AI12" s="51"/>
      <c r="AJ12" s="83" t="s">
        <v>554</v>
      </c>
      <c r="AK12" s="51"/>
      <c r="AL12" s="51"/>
      <c r="AM12" s="51"/>
      <c r="AN12" s="51" t="s">
        <v>25</v>
      </c>
      <c r="AO12" s="51"/>
      <c r="AU12" s="29">
        <v>0.114870733172899</v>
      </c>
      <c r="AV12" s="227">
        <v>9.7435426753248695</v>
      </c>
      <c r="AW12" s="52">
        <v>1.3788346006034509</v>
      </c>
      <c r="AX12" s="52">
        <v>0.2763181858601822</v>
      </c>
      <c r="AY12" s="52">
        <v>0.8112438834232808</v>
      </c>
      <c r="AZ12" s="52">
        <v>0.31954608203159746</v>
      </c>
      <c r="BA12" s="52">
        <v>0.52704341804293542</v>
      </c>
      <c r="BB12" s="52">
        <v>0.58403141041745277</v>
      </c>
      <c r="BC12" s="52">
        <v>2.1453652766027114</v>
      </c>
      <c r="BD12" s="52">
        <v>0.31142500465481682</v>
      </c>
      <c r="BE12" s="225">
        <v>5.8334432903488795E-4</v>
      </c>
      <c r="BF12" s="45">
        <v>0.8</v>
      </c>
      <c r="BG12" s="2" t="s">
        <v>489</v>
      </c>
      <c r="BH12" s="225">
        <v>1.89</v>
      </c>
      <c r="BI12" s="2">
        <v>0</v>
      </c>
      <c r="BJ12" s="2">
        <v>9</v>
      </c>
      <c r="BK12" s="2">
        <v>0.79</v>
      </c>
      <c r="BL12" s="2">
        <v>0.27</v>
      </c>
      <c r="BM12" s="1" t="s">
        <v>549</v>
      </c>
      <c r="BN12" s="29" t="s">
        <v>513</v>
      </c>
      <c r="BO12" s="29" t="s">
        <v>492</v>
      </c>
      <c r="BP12" s="29">
        <v>62</v>
      </c>
      <c r="BQ12" s="29">
        <v>0</v>
      </c>
      <c r="BR12" s="54" t="s">
        <v>493</v>
      </c>
      <c r="BS12" s="29" t="s">
        <v>494</v>
      </c>
      <c r="BT12" s="29" t="s">
        <v>495</v>
      </c>
      <c r="BU12" s="45" t="s">
        <v>4</v>
      </c>
      <c r="BV12" s="45" t="s">
        <v>496</v>
      </c>
      <c r="BW12" s="29" t="s">
        <v>497</v>
      </c>
      <c r="BX12" s="29" t="s">
        <v>498</v>
      </c>
      <c r="BY12" s="29">
        <v>0</v>
      </c>
      <c r="BZ12" s="29">
        <v>2</v>
      </c>
      <c r="CA12" s="29">
        <v>52.8</v>
      </c>
      <c r="CB12" s="45">
        <v>0.6</v>
      </c>
      <c r="CC12" s="225" t="s">
        <v>518</v>
      </c>
      <c r="CD12" s="29" t="s">
        <v>519</v>
      </c>
      <c r="CE12" s="29" t="s">
        <v>502</v>
      </c>
      <c r="CF12" s="29" t="s">
        <v>519</v>
      </c>
      <c r="CG12" s="29" t="s">
        <v>533</v>
      </c>
      <c r="CH12" s="29" t="s">
        <v>534</v>
      </c>
      <c r="CI12" s="29" t="s">
        <v>519</v>
      </c>
      <c r="CJ12" s="4">
        <v>420</v>
      </c>
      <c r="CK12" s="29">
        <v>1</v>
      </c>
      <c r="CL12" s="29">
        <v>1</v>
      </c>
      <c r="CM12" s="29" t="s">
        <v>522</v>
      </c>
      <c r="CN12" s="29" t="s">
        <v>509</v>
      </c>
      <c r="CO12" s="29" t="s">
        <v>509</v>
      </c>
      <c r="CP12" s="29" t="s">
        <v>509</v>
      </c>
      <c r="CQ12" s="29" t="s">
        <v>510</v>
      </c>
      <c r="CR12" s="29">
        <v>0</v>
      </c>
      <c r="CS12" s="29" t="s">
        <v>509</v>
      </c>
      <c r="CT12" s="29" t="s">
        <v>509</v>
      </c>
      <c r="CU12" s="47">
        <v>1</v>
      </c>
      <c r="CV12" s="56">
        <v>1</v>
      </c>
      <c r="CW12" s="47">
        <v>1</v>
      </c>
      <c r="CX12" s="225">
        <v>0</v>
      </c>
      <c r="CY12" s="225">
        <v>0</v>
      </c>
      <c r="CZ12" s="225">
        <v>0</v>
      </c>
      <c r="DA12" s="47">
        <v>1</v>
      </c>
      <c r="DB12" s="225">
        <v>0</v>
      </c>
      <c r="DC12" s="225">
        <v>0</v>
      </c>
      <c r="DD12" s="225">
        <v>0</v>
      </c>
      <c r="DE12" s="225">
        <v>0</v>
      </c>
      <c r="DF12" s="2">
        <v>0</v>
      </c>
      <c r="DG12" s="225">
        <v>0</v>
      </c>
      <c r="DH12" s="225">
        <v>0</v>
      </c>
      <c r="DI12" s="225">
        <v>0</v>
      </c>
      <c r="DJ12" s="47">
        <v>1</v>
      </c>
      <c r="DK12" s="2">
        <v>0</v>
      </c>
      <c r="DL12" s="2">
        <v>0</v>
      </c>
      <c r="DM12" s="225">
        <v>0</v>
      </c>
      <c r="DN12" s="2">
        <v>0</v>
      </c>
      <c r="DO12" s="2">
        <v>0</v>
      </c>
      <c r="DP12" s="47">
        <v>1</v>
      </c>
      <c r="DQ12" s="225">
        <v>0</v>
      </c>
      <c r="DR12" s="60">
        <v>0.113111922522773</v>
      </c>
      <c r="DS12" s="227">
        <v>0</v>
      </c>
      <c r="DT12" s="57">
        <v>4.2752442464461901E-2</v>
      </c>
      <c r="DU12" s="57">
        <v>8.8298324389760596E-2</v>
      </c>
      <c r="DV12" s="227">
        <v>0</v>
      </c>
      <c r="DW12" s="73">
        <v>0.228415441211993</v>
      </c>
      <c r="DX12" s="57">
        <v>5.1171396178873903E-2</v>
      </c>
      <c r="DY12" s="57">
        <v>4.6763131984945597E-2</v>
      </c>
      <c r="DZ12" s="227">
        <v>0</v>
      </c>
      <c r="EA12" s="57">
        <v>6.6026102292705294E-2</v>
      </c>
      <c r="EB12" s="57">
        <v>4.79030593229317E-2</v>
      </c>
      <c r="EC12" s="57">
        <v>3.9374171026261798E-2</v>
      </c>
      <c r="ED12" s="61">
        <v>0</v>
      </c>
      <c r="EE12" s="57">
        <v>9.7745997355227193E-3</v>
      </c>
      <c r="EF12" s="227">
        <v>0</v>
      </c>
      <c r="EG12" s="227">
        <v>0</v>
      </c>
      <c r="EH12" s="57">
        <v>4.9888999465586399E-2</v>
      </c>
      <c r="EI12" s="57">
        <v>9.2507974515465302E-2</v>
      </c>
      <c r="EJ12" s="57">
        <v>5.43371038167869E-2</v>
      </c>
      <c r="EK12" s="57">
        <v>4.9499539621392599E-2</v>
      </c>
      <c r="EL12" s="57">
        <v>2.0175791450539E-2</v>
      </c>
    </row>
    <row r="13" spans="1:142" x14ac:dyDescent="0.25">
      <c r="A13" s="45" t="s">
        <v>56</v>
      </c>
      <c r="B13" s="45" t="s">
        <v>486</v>
      </c>
      <c r="C13" s="45">
        <v>1</v>
      </c>
      <c r="D13" s="45">
        <v>1</v>
      </c>
      <c r="E13" s="45">
        <v>1</v>
      </c>
      <c r="F13" s="45">
        <v>1</v>
      </c>
      <c r="G13" s="45">
        <v>1</v>
      </c>
      <c r="H13" s="45" t="s">
        <v>257</v>
      </c>
      <c r="I13" s="45">
        <v>2</v>
      </c>
      <c r="J13" s="225" t="s">
        <v>27</v>
      </c>
      <c r="K13" s="62" t="s">
        <v>20</v>
      </c>
      <c r="L13" s="62">
        <v>1</v>
      </c>
      <c r="M13" s="74">
        <v>3</v>
      </c>
      <c r="N13" s="63">
        <v>4</v>
      </c>
      <c r="O13" s="197">
        <v>4</v>
      </c>
      <c r="P13" s="197">
        <v>3</v>
      </c>
      <c r="Q13" s="49">
        <v>0</v>
      </c>
      <c r="R13" s="49">
        <v>0</v>
      </c>
      <c r="S13" s="45"/>
      <c r="T13" s="50">
        <v>1</v>
      </c>
      <c r="U13" s="2">
        <v>62</v>
      </c>
      <c r="V13" s="2">
        <v>61</v>
      </c>
      <c r="W13" s="5">
        <v>42</v>
      </c>
      <c r="X13" s="45"/>
      <c r="Y13" s="63" t="s">
        <v>49</v>
      </c>
      <c r="Z13" s="45"/>
      <c r="AA13" s="67"/>
      <c r="AB13" s="76" t="s">
        <v>51</v>
      </c>
      <c r="AC13" s="81" t="s">
        <v>26</v>
      </c>
      <c r="AD13" s="67"/>
      <c r="AE13" s="45"/>
      <c r="AF13" s="45"/>
      <c r="AG13" s="45"/>
      <c r="AH13" s="45"/>
      <c r="AI13" s="51"/>
      <c r="AJ13" s="51"/>
      <c r="AK13" s="51"/>
      <c r="AL13" s="51"/>
      <c r="AM13" s="51"/>
      <c r="AN13" s="51"/>
      <c r="AO13" s="51"/>
      <c r="AP13" s="33" t="s">
        <v>3461</v>
      </c>
      <c r="AQ13" s="45"/>
      <c r="AR13" s="45"/>
      <c r="AS13" s="45"/>
      <c r="AT13" s="45"/>
      <c r="AU13" s="29">
        <v>6.4995290491640004E-2</v>
      </c>
      <c r="AV13" s="227">
        <v>19.998011365809301</v>
      </c>
      <c r="AW13" s="52">
        <v>0.58688604183058712</v>
      </c>
      <c r="AX13" s="52">
        <v>1.0634670254561953</v>
      </c>
      <c r="AY13" s="52">
        <v>5.5848793895338327</v>
      </c>
      <c r="AZ13" s="52">
        <v>0.88398114251676196</v>
      </c>
      <c r="BA13" s="52">
        <v>0.44273635664873173</v>
      </c>
      <c r="BB13" s="52">
        <v>0.6223198470829322</v>
      </c>
      <c r="BC13" s="52">
        <v>1.9672790446632857</v>
      </c>
      <c r="BD13" s="52">
        <v>0.83865447606281218</v>
      </c>
      <c r="BE13" s="84">
        <v>7.4649276972865448E-4</v>
      </c>
      <c r="BF13" s="65">
        <v>0.72</v>
      </c>
      <c r="BG13" s="2" t="s">
        <v>489</v>
      </c>
      <c r="BH13" s="5">
        <v>4.17</v>
      </c>
      <c r="BI13" s="2">
        <v>2</v>
      </c>
      <c r="BJ13" s="2">
        <v>21</v>
      </c>
      <c r="BK13" s="2">
        <v>0.84</v>
      </c>
      <c r="BL13" s="2">
        <v>0.05</v>
      </c>
      <c r="BM13" s="1" t="s">
        <v>555</v>
      </c>
      <c r="BN13" s="45" t="s">
        <v>513</v>
      </c>
      <c r="BO13" s="45" t="s">
        <v>514</v>
      </c>
      <c r="BP13" s="45">
        <v>72</v>
      </c>
      <c r="BQ13" s="45" t="s">
        <v>0</v>
      </c>
      <c r="BR13" s="54" t="s">
        <v>493</v>
      </c>
      <c r="BS13" s="45" t="s">
        <v>499</v>
      </c>
      <c r="BT13" s="45" t="s">
        <v>550</v>
      </c>
      <c r="BU13" s="45" t="s">
        <v>542</v>
      </c>
      <c r="BV13" s="45" t="s">
        <v>516</v>
      </c>
      <c r="BW13" s="45" t="s">
        <v>556</v>
      </c>
      <c r="BX13" s="45" t="s">
        <v>499</v>
      </c>
      <c r="BY13" s="45">
        <v>1</v>
      </c>
      <c r="BZ13" s="45" t="s">
        <v>499</v>
      </c>
      <c r="CA13" s="45" t="s">
        <v>3</v>
      </c>
      <c r="CB13" s="45">
        <v>0.5</v>
      </c>
      <c r="CC13" s="51"/>
      <c r="CD13" s="45" t="s">
        <v>557</v>
      </c>
      <c r="CE13" s="45" t="s">
        <v>502</v>
      </c>
      <c r="CF13" s="45" t="s">
        <v>501</v>
      </c>
      <c r="CG13" s="45" t="s">
        <v>503</v>
      </c>
      <c r="CH13" s="45" t="s">
        <v>558</v>
      </c>
      <c r="CI13" s="45" t="s">
        <v>501</v>
      </c>
      <c r="CJ13" s="219" t="s">
        <v>559</v>
      </c>
      <c r="CK13" s="45">
        <v>1</v>
      </c>
      <c r="CL13" s="45">
        <v>1</v>
      </c>
      <c r="CM13" s="45" t="s">
        <v>552</v>
      </c>
      <c r="CN13" s="45" t="s">
        <v>509</v>
      </c>
      <c r="CO13" s="45" t="s">
        <v>509</v>
      </c>
      <c r="CP13" s="45" t="s">
        <v>509</v>
      </c>
      <c r="CQ13" s="45" t="s">
        <v>548</v>
      </c>
      <c r="CR13" s="45">
        <v>0</v>
      </c>
      <c r="CS13" s="45" t="s">
        <v>509</v>
      </c>
      <c r="CT13" s="45" t="s">
        <v>509</v>
      </c>
      <c r="CU13" s="47">
        <v>1</v>
      </c>
      <c r="CV13" s="56">
        <v>1</v>
      </c>
      <c r="CW13" s="47">
        <v>1</v>
      </c>
      <c r="CX13" s="2">
        <v>0</v>
      </c>
      <c r="CY13" s="56">
        <v>1</v>
      </c>
      <c r="CZ13" s="2">
        <v>0</v>
      </c>
      <c r="DA13" s="47">
        <v>1</v>
      </c>
      <c r="DB13" s="47">
        <v>1</v>
      </c>
      <c r="DC13" s="225">
        <v>0</v>
      </c>
      <c r="DD13" s="2">
        <v>0</v>
      </c>
      <c r="DE13" s="225">
        <v>0</v>
      </c>
      <c r="DF13" s="56">
        <v>1</v>
      </c>
      <c r="DG13" s="47">
        <v>1</v>
      </c>
      <c r="DH13" s="47">
        <v>1</v>
      </c>
      <c r="DI13" s="47">
        <v>1</v>
      </c>
      <c r="DJ13" s="47">
        <v>1</v>
      </c>
      <c r="DK13" s="2">
        <v>0</v>
      </c>
      <c r="DL13" s="2">
        <v>0</v>
      </c>
      <c r="DM13" s="2">
        <v>0</v>
      </c>
      <c r="DN13" s="2">
        <v>0</v>
      </c>
      <c r="DO13" s="2">
        <v>0</v>
      </c>
      <c r="DP13" s="47">
        <v>1</v>
      </c>
      <c r="DQ13" s="2">
        <v>0</v>
      </c>
      <c r="DR13" s="73">
        <v>0.240960169632497</v>
      </c>
      <c r="DS13">
        <v>0</v>
      </c>
      <c r="DT13" s="227">
        <v>0</v>
      </c>
      <c r="DU13" s="57">
        <v>9.5816502152952705E-4</v>
      </c>
      <c r="DV13" s="57">
        <v>4.99731779784661E-2</v>
      </c>
      <c r="DW13" s="59">
        <v>0.153967865102459</v>
      </c>
      <c r="DX13" s="57">
        <v>7.9136169052040503E-2</v>
      </c>
      <c r="DY13" s="60">
        <v>0.101804593473367</v>
      </c>
      <c r="DZ13" s="57">
        <v>1.0304065605918801E-2</v>
      </c>
      <c r="EA13" s="57">
        <v>2.0612146631055001E-2</v>
      </c>
      <c r="EB13" s="61">
        <v>0</v>
      </c>
      <c r="EC13" s="57">
        <v>2.8169507248784101E-2</v>
      </c>
      <c r="ED13" s="57">
        <v>3.8891341902111999E-2</v>
      </c>
      <c r="EE13" s="57">
        <v>9.0849007768092099E-2</v>
      </c>
      <c r="EF13" s="227">
        <v>0</v>
      </c>
      <c r="EG13" s="227">
        <v>0</v>
      </c>
      <c r="EH13" s="57">
        <v>8.3307772596631705E-2</v>
      </c>
      <c r="EI13" s="61">
        <v>0</v>
      </c>
      <c r="EJ13" s="57">
        <v>8.5335657490185707E-2</v>
      </c>
      <c r="EK13" s="57">
        <v>8.9554309570403605E-3</v>
      </c>
      <c r="EL13" s="57">
        <v>6.7749295398213897E-3</v>
      </c>
    </row>
    <row r="14" spans="1:142" x14ac:dyDescent="0.25">
      <c r="A14" s="45" t="s">
        <v>76</v>
      </c>
      <c r="B14" s="45" t="s">
        <v>486</v>
      </c>
      <c r="C14" s="45">
        <v>1</v>
      </c>
      <c r="D14" s="45">
        <v>1</v>
      </c>
      <c r="E14" s="45">
        <v>1</v>
      </c>
      <c r="F14" s="45">
        <v>1</v>
      </c>
      <c r="G14" s="45">
        <v>1</v>
      </c>
      <c r="H14" s="45" t="s">
        <v>257</v>
      </c>
      <c r="I14" s="45">
        <v>1</v>
      </c>
      <c r="J14" s="84" t="s">
        <v>78</v>
      </c>
      <c r="K14" s="62" t="s">
        <v>20</v>
      </c>
      <c r="L14" s="87">
        <v>4</v>
      </c>
      <c r="M14" s="74">
        <v>3</v>
      </c>
      <c r="N14" s="63">
        <v>4</v>
      </c>
      <c r="O14" s="197">
        <v>4</v>
      </c>
      <c r="P14" s="197">
        <v>2</v>
      </c>
      <c r="Q14" s="49">
        <v>0</v>
      </c>
      <c r="R14" s="49">
        <v>0</v>
      </c>
      <c r="S14" s="45"/>
      <c r="T14" s="50">
        <v>13</v>
      </c>
      <c r="W14" s="5"/>
      <c r="X14" s="45"/>
      <c r="Y14" s="45"/>
      <c r="Z14" s="45"/>
      <c r="AA14" s="67"/>
      <c r="AB14" s="67"/>
      <c r="AC14" s="67"/>
      <c r="AD14" s="67"/>
      <c r="AE14" s="45"/>
      <c r="AG14" s="45"/>
      <c r="AH14" s="51"/>
      <c r="AI14" s="51"/>
      <c r="AJ14" s="51"/>
      <c r="AK14" s="45"/>
      <c r="AL14" s="82"/>
      <c r="AM14" s="51" t="s">
        <v>560</v>
      </c>
      <c r="AN14" s="51"/>
      <c r="AO14" s="51"/>
      <c r="AP14" s="33" t="s">
        <v>3461</v>
      </c>
      <c r="AQ14" s="45"/>
      <c r="AR14" s="45"/>
      <c r="AS14" s="45"/>
      <c r="AT14" s="45"/>
      <c r="AU14" s="29">
        <v>8.9963501113455399E-2</v>
      </c>
      <c r="AV14" s="227">
        <v>11.203659086910999</v>
      </c>
      <c r="AW14" s="52">
        <v>1.0947409081289892</v>
      </c>
      <c r="AX14" s="52">
        <v>0.48939489981436585</v>
      </c>
      <c r="AY14" s="52">
        <v>2.1749347258485638</v>
      </c>
      <c r="AZ14" s="52">
        <v>0.41013706842521186</v>
      </c>
      <c r="BA14" s="52">
        <v>832.90708707715908</v>
      </c>
      <c r="BB14" s="52">
        <v>0.38171884773050918</v>
      </c>
      <c r="BC14" s="52">
        <v>2.2816162960996107</v>
      </c>
      <c r="BD14" s="52">
        <v>0.52790154396312561</v>
      </c>
      <c r="BE14" s="84">
        <v>1.6294378320434489E-4</v>
      </c>
      <c r="BF14" s="65">
        <v>0.74</v>
      </c>
      <c r="BG14" s="2" t="s">
        <v>489</v>
      </c>
      <c r="BH14" s="5">
        <v>3.74</v>
      </c>
      <c r="BI14" s="2">
        <v>1</v>
      </c>
      <c r="BJ14" s="2">
        <v>18</v>
      </c>
      <c r="BK14" s="2">
        <v>0.84</v>
      </c>
      <c r="BL14" s="2">
        <v>0.12</v>
      </c>
      <c r="BM14" s="1" t="s">
        <v>555</v>
      </c>
      <c r="BN14" s="45" t="s">
        <v>513</v>
      </c>
      <c r="BO14" s="45" t="s">
        <v>492</v>
      </c>
      <c r="BP14" s="45">
        <v>64</v>
      </c>
      <c r="BQ14" s="45" t="s">
        <v>0</v>
      </c>
      <c r="BR14" s="5" t="s">
        <v>561</v>
      </c>
      <c r="BS14" s="45" t="s">
        <v>1</v>
      </c>
      <c r="BT14" s="45" t="s">
        <v>495</v>
      </c>
      <c r="BU14" s="45" t="s">
        <v>4</v>
      </c>
      <c r="BV14" s="45" t="s">
        <v>496</v>
      </c>
      <c r="BW14" s="45" t="s">
        <v>497</v>
      </c>
      <c r="BX14" s="45" t="s">
        <v>498</v>
      </c>
      <c r="BY14" s="45">
        <v>0</v>
      </c>
      <c r="BZ14" s="45">
        <v>14</v>
      </c>
      <c r="CA14" s="45" t="s">
        <v>3</v>
      </c>
      <c r="CB14" s="45">
        <v>0.5</v>
      </c>
      <c r="CC14" s="51"/>
      <c r="CD14" s="45" t="s">
        <v>557</v>
      </c>
      <c r="CE14" s="45" t="s">
        <v>502</v>
      </c>
      <c r="CF14" s="45" t="s">
        <v>562</v>
      </c>
      <c r="CG14" s="45" t="s">
        <v>533</v>
      </c>
      <c r="CH14" s="45" t="s">
        <v>563</v>
      </c>
      <c r="CI14" s="45" t="s">
        <v>564</v>
      </c>
      <c r="CJ14" s="219">
        <v>829</v>
      </c>
      <c r="CK14" s="45"/>
      <c r="CL14" s="45"/>
      <c r="CM14" s="45"/>
      <c r="CN14" s="45"/>
      <c r="CO14" s="45"/>
      <c r="CP14" s="45"/>
      <c r="CQ14" s="45"/>
      <c r="CR14" s="45"/>
      <c r="CS14" s="45"/>
      <c r="CT14" s="45"/>
      <c r="CU14" s="225">
        <v>0</v>
      </c>
      <c r="CV14" s="56">
        <v>1</v>
      </c>
      <c r="CW14" s="225">
        <v>0</v>
      </c>
      <c r="CX14" s="225">
        <v>0</v>
      </c>
      <c r="CY14" s="2">
        <v>0</v>
      </c>
      <c r="CZ14" s="225">
        <v>0</v>
      </c>
      <c r="DA14" s="225">
        <v>0</v>
      </c>
      <c r="DB14" s="47">
        <v>1</v>
      </c>
      <c r="DC14" s="56">
        <v>1</v>
      </c>
      <c r="DD14" s="225">
        <v>0</v>
      </c>
      <c r="DE14" s="225">
        <v>0</v>
      </c>
      <c r="DF14" s="225">
        <v>0</v>
      </c>
      <c r="DG14" s="225">
        <v>0</v>
      </c>
      <c r="DH14" s="225">
        <v>0</v>
      </c>
      <c r="DI14" s="225">
        <v>0</v>
      </c>
      <c r="DJ14" s="2">
        <v>0</v>
      </c>
      <c r="DK14" s="225">
        <v>0</v>
      </c>
      <c r="DL14" s="225">
        <v>0</v>
      </c>
      <c r="DM14" s="2">
        <v>0</v>
      </c>
      <c r="DN14" s="225">
        <v>0</v>
      </c>
      <c r="DO14" s="2">
        <v>0</v>
      </c>
      <c r="DP14" s="47">
        <v>1</v>
      </c>
      <c r="DQ14" s="2">
        <v>0</v>
      </c>
      <c r="DR14" s="227">
        <v>0</v>
      </c>
      <c r="DS14" s="227">
        <v>0</v>
      </c>
      <c r="DT14" s="227">
        <v>0</v>
      </c>
      <c r="DU14" s="57">
        <v>6.4935430925433402E-3</v>
      </c>
      <c r="DV14" s="57">
        <v>4.1643438220372801E-2</v>
      </c>
      <c r="DW14" s="66">
        <v>7.1878511399265502E-2</v>
      </c>
      <c r="DX14" s="57">
        <v>1.9334531516603901E-2</v>
      </c>
      <c r="DY14" s="57">
        <v>7.1591186821701597E-2</v>
      </c>
      <c r="DZ14" s="57">
        <v>5.6205920331081398E-2</v>
      </c>
      <c r="EA14" s="57">
        <v>4.09840572244521E-2</v>
      </c>
      <c r="EB14" s="61">
        <v>0</v>
      </c>
      <c r="EC14" s="57">
        <v>5.60516176179221E-2</v>
      </c>
      <c r="ED14" s="79">
        <v>0.222039824469415</v>
      </c>
      <c r="EE14" s="227">
        <v>0</v>
      </c>
      <c r="EF14" s="57">
        <v>8.6992255269186899E-2</v>
      </c>
      <c r="EG14" s="57">
        <v>9.9323850386962106E-2</v>
      </c>
      <c r="EH14" s="57">
        <v>3.7643732848464201E-2</v>
      </c>
      <c r="EI14" s="57">
        <v>9.2650754169468802E-2</v>
      </c>
      <c r="EJ14" s="61">
        <v>0</v>
      </c>
      <c r="EK14" s="57">
        <v>5.83625180429405E-2</v>
      </c>
      <c r="EL14" s="57">
        <v>3.8804258589620298E-2</v>
      </c>
    </row>
    <row r="15" spans="1:142" x14ac:dyDescent="0.25">
      <c r="A15" s="45" t="s">
        <v>62</v>
      </c>
      <c r="B15" s="29" t="s">
        <v>486</v>
      </c>
      <c r="C15" s="29">
        <v>1</v>
      </c>
      <c r="D15" s="29">
        <v>1</v>
      </c>
      <c r="E15" s="29">
        <v>1</v>
      </c>
      <c r="F15" s="29">
        <v>1</v>
      </c>
      <c r="G15" s="29">
        <v>1</v>
      </c>
      <c r="H15" s="29">
        <v>1</v>
      </c>
      <c r="I15" s="45">
        <v>1</v>
      </c>
      <c r="J15" s="2" t="s">
        <v>27</v>
      </c>
      <c r="K15" s="62" t="s">
        <v>20</v>
      </c>
      <c r="L15" s="62">
        <v>1</v>
      </c>
      <c r="M15" s="62">
        <v>2</v>
      </c>
      <c r="N15" s="63">
        <v>4</v>
      </c>
      <c r="O15" s="197">
        <v>4</v>
      </c>
      <c r="P15" s="197">
        <v>3</v>
      </c>
      <c r="Q15" s="49">
        <v>0</v>
      </c>
      <c r="R15" s="49">
        <v>0</v>
      </c>
      <c r="S15" s="227">
        <v>1</v>
      </c>
      <c r="T15" s="50">
        <v>6</v>
      </c>
      <c r="U15" s="2">
        <v>75</v>
      </c>
      <c r="V15" s="2">
        <v>61</v>
      </c>
      <c r="W15" s="5">
        <v>47</v>
      </c>
      <c r="X15" s="29"/>
      <c r="Y15" s="63" t="s">
        <v>49</v>
      </c>
      <c r="Z15" s="29"/>
      <c r="AA15" s="67"/>
      <c r="AB15" s="76" t="s">
        <v>25</v>
      </c>
      <c r="AC15" s="67"/>
      <c r="AD15" s="67"/>
      <c r="AE15" s="67"/>
      <c r="AG15" s="45"/>
      <c r="AH15" s="51"/>
      <c r="AI15" s="51"/>
      <c r="AJ15" s="51"/>
      <c r="AK15" s="45"/>
      <c r="AL15" s="45"/>
      <c r="AM15" s="85"/>
      <c r="AN15" s="51"/>
      <c r="AO15" s="33" t="s">
        <v>58</v>
      </c>
      <c r="AU15" s="29">
        <v>0.204441417801831</v>
      </c>
      <c r="AV15" s="227">
        <v>10.7447435044324</v>
      </c>
      <c r="AW15" s="52">
        <v>1.4661318168531206</v>
      </c>
      <c r="AX15" s="52">
        <v>1.0372689072031578</v>
      </c>
      <c r="AY15" s="52">
        <v>3.1924103737604881</v>
      </c>
      <c r="AZ15" s="52">
        <v>1.0183597734202949</v>
      </c>
      <c r="BA15" s="52">
        <v>346.21642073401438</v>
      </c>
      <c r="BB15" s="52">
        <v>0.76515555339950825</v>
      </c>
      <c r="BC15" s="52">
        <v>0.92201615528884773</v>
      </c>
      <c r="BD15" s="52">
        <v>1.0258950170218937</v>
      </c>
      <c r="BE15" s="2">
        <v>9.1998550389648E-4</v>
      </c>
      <c r="BF15" s="78">
        <v>0.5</v>
      </c>
      <c r="BG15" s="2" t="s">
        <v>489</v>
      </c>
      <c r="BH15" s="2">
        <v>1.93</v>
      </c>
      <c r="BI15" s="2">
        <v>0</v>
      </c>
      <c r="BJ15" s="2">
        <v>16</v>
      </c>
      <c r="BK15" s="2">
        <v>0.49</v>
      </c>
      <c r="BL15" s="2">
        <v>0.21</v>
      </c>
      <c r="BM15" s="1" t="s">
        <v>555</v>
      </c>
      <c r="BN15" s="29" t="s">
        <v>513</v>
      </c>
      <c r="BO15" s="29" t="s">
        <v>514</v>
      </c>
      <c r="BP15" s="29">
        <v>62</v>
      </c>
      <c r="BQ15" s="29">
        <v>1</v>
      </c>
      <c r="BR15" s="225" t="s">
        <v>567</v>
      </c>
      <c r="BS15" s="29" t="s">
        <v>568</v>
      </c>
      <c r="BT15" s="29" t="s">
        <v>495</v>
      </c>
      <c r="BU15" s="45" t="s">
        <v>4</v>
      </c>
      <c r="BV15" s="45" t="s">
        <v>496</v>
      </c>
      <c r="BW15" s="29" t="s">
        <v>497</v>
      </c>
      <c r="BX15" s="29" t="s">
        <v>498</v>
      </c>
      <c r="BY15" s="29">
        <v>0</v>
      </c>
      <c r="BZ15" s="29">
        <v>2.5</v>
      </c>
      <c r="CA15" s="29">
        <v>71</v>
      </c>
      <c r="CB15" s="29">
        <v>0.7</v>
      </c>
      <c r="CC15" s="2" t="s">
        <v>500</v>
      </c>
      <c r="CD15" s="29" t="s">
        <v>519</v>
      </c>
      <c r="CE15" s="29" t="s">
        <v>502</v>
      </c>
      <c r="CF15" s="29" t="s">
        <v>519</v>
      </c>
      <c r="CG15" s="29" t="s">
        <v>533</v>
      </c>
      <c r="CH15" s="29" t="s">
        <v>534</v>
      </c>
      <c r="CI15" s="29" t="s">
        <v>519</v>
      </c>
      <c r="CJ15" s="4">
        <v>1976</v>
      </c>
      <c r="CK15" s="29">
        <v>3</v>
      </c>
      <c r="CL15" s="29">
        <v>0.45</v>
      </c>
      <c r="CM15" s="29" t="s">
        <v>552</v>
      </c>
      <c r="CN15" s="29" t="s">
        <v>509</v>
      </c>
      <c r="CO15" s="29" t="s">
        <v>509</v>
      </c>
      <c r="CP15" s="29" t="s">
        <v>509</v>
      </c>
      <c r="CQ15" s="29" t="s">
        <v>548</v>
      </c>
      <c r="CR15" s="29">
        <v>0</v>
      </c>
      <c r="CS15" s="29" t="s">
        <v>509</v>
      </c>
      <c r="CT15" s="29" t="s">
        <v>509</v>
      </c>
      <c r="CU15" s="47">
        <v>1</v>
      </c>
      <c r="CV15" s="225">
        <v>0</v>
      </c>
      <c r="CW15" s="47">
        <v>1</v>
      </c>
      <c r="CX15" s="225">
        <v>0</v>
      </c>
      <c r="CY15" s="56">
        <v>1</v>
      </c>
      <c r="CZ15" s="2">
        <v>0</v>
      </c>
      <c r="DA15" s="47">
        <v>1</v>
      </c>
      <c r="DB15" s="47">
        <v>1</v>
      </c>
      <c r="DC15" s="225">
        <v>0</v>
      </c>
      <c r="DD15" s="47">
        <v>1</v>
      </c>
      <c r="DE15" s="47">
        <v>1</v>
      </c>
      <c r="DF15" s="225">
        <v>0</v>
      </c>
      <c r="DG15" s="2">
        <v>0</v>
      </c>
      <c r="DH15" s="2">
        <v>0</v>
      </c>
      <c r="DI15" s="47">
        <v>1</v>
      </c>
      <c r="DJ15" s="47">
        <v>1</v>
      </c>
      <c r="DK15" s="225">
        <v>0</v>
      </c>
      <c r="DL15" s="225">
        <v>0</v>
      </c>
      <c r="DM15" s="2">
        <v>0</v>
      </c>
      <c r="DN15" s="225">
        <v>0</v>
      </c>
      <c r="DO15" s="2">
        <v>0</v>
      </c>
      <c r="DP15" s="2">
        <v>0</v>
      </c>
      <c r="DQ15" s="56">
        <v>1</v>
      </c>
      <c r="DR15" s="227">
        <v>0</v>
      </c>
      <c r="DS15" s="57">
        <v>6.2958587120479706E-2</v>
      </c>
      <c r="DT15" s="57">
        <v>2.76549181480218E-2</v>
      </c>
      <c r="DU15" s="57">
        <v>2.3627405344903801E-2</v>
      </c>
      <c r="DV15" s="60">
        <v>0.120604581728776</v>
      </c>
      <c r="DW15" s="73">
        <v>0.23447352866014101</v>
      </c>
      <c r="DX15" s="57">
        <v>9.0699882480437199E-2</v>
      </c>
      <c r="DY15" s="57">
        <v>3.1877999036985301E-2</v>
      </c>
      <c r="DZ15" s="227">
        <v>0</v>
      </c>
      <c r="EA15" s="57">
        <v>1.27962089853109E-2</v>
      </c>
      <c r="EB15" s="57">
        <v>2.1235072193503499E-2</v>
      </c>
      <c r="EC15" s="57">
        <v>1.99273889241838E-2</v>
      </c>
      <c r="ED15" s="57">
        <v>3.46558895226797E-2</v>
      </c>
      <c r="EE15" s="57">
        <v>8.9422576009900806E-2</v>
      </c>
      <c r="EF15" s="57">
        <v>3.7457132348310503E-2</v>
      </c>
      <c r="EG15" s="227">
        <v>0</v>
      </c>
      <c r="EH15" s="227">
        <v>0</v>
      </c>
      <c r="EI15" s="57">
        <v>5.2544011435794999E-2</v>
      </c>
      <c r="EJ15" s="57">
        <v>7.5787485456484394E-2</v>
      </c>
      <c r="EK15" s="57">
        <v>5.7606431599173599E-2</v>
      </c>
      <c r="EL15" s="57">
        <v>6.6709010049129398E-3</v>
      </c>
    </row>
    <row r="16" spans="1:142" x14ac:dyDescent="0.25">
      <c r="A16" s="45" t="s">
        <v>45</v>
      </c>
      <c r="B16" s="29" t="s">
        <v>486</v>
      </c>
      <c r="C16" s="29">
        <v>1</v>
      </c>
      <c r="D16" s="29">
        <v>1</v>
      </c>
      <c r="E16" s="29">
        <v>1</v>
      </c>
      <c r="F16" s="29">
        <v>1</v>
      </c>
      <c r="G16" s="29">
        <v>1</v>
      </c>
      <c r="H16" s="29">
        <v>1</v>
      </c>
      <c r="I16" s="45">
        <v>1</v>
      </c>
      <c r="J16" s="225" t="s">
        <v>27</v>
      </c>
      <c r="K16" s="62" t="s">
        <v>20</v>
      </c>
      <c r="L16" s="62">
        <v>1</v>
      </c>
      <c r="M16" s="62">
        <v>2</v>
      </c>
      <c r="N16" s="95">
        <v>2</v>
      </c>
      <c r="O16" s="197">
        <v>2</v>
      </c>
      <c r="P16" s="197">
        <v>5</v>
      </c>
      <c r="Q16" s="49">
        <v>0</v>
      </c>
      <c r="R16" s="49">
        <v>0</v>
      </c>
      <c r="S16" s="227">
        <v>3</v>
      </c>
      <c r="T16" s="50">
        <v>6</v>
      </c>
      <c r="U16" s="2">
        <v>69</v>
      </c>
      <c r="V16" s="2">
        <v>60</v>
      </c>
      <c r="W16" s="5">
        <v>53</v>
      </c>
      <c r="X16" s="29"/>
      <c r="Y16" s="29"/>
      <c r="Z16" s="29"/>
      <c r="AA16" s="80" t="s">
        <v>33</v>
      </c>
      <c r="AB16" s="67"/>
      <c r="AC16" s="81" t="s">
        <v>47</v>
      </c>
      <c r="AD16" s="67"/>
      <c r="AE16" s="67"/>
      <c r="AF16" s="45"/>
      <c r="AG16" s="45"/>
      <c r="AH16" s="69" t="s">
        <v>46</v>
      </c>
      <c r="AI16" s="51"/>
      <c r="AJ16" s="51"/>
      <c r="AK16" s="51"/>
      <c r="AL16" s="51" t="s">
        <v>25</v>
      </c>
      <c r="AM16" s="51"/>
      <c r="AN16" s="51"/>
      <c r="AO16" s="51"/>
      <c r="AP16" s="33" t="s">
        <v>3461</v>
      </c>
      <c r="AU16" s="29">
        <v>7.5366789302257695E-2</v>
      </c>
      <c r="AV16" s="227">
        <v>19.0327589239959</v>
      </c>
      <c r="AW16" s="52">
        <v>0.54455746483965917</v>
      </c>
      <c r="AX16" s="52">
        <v>1.8890986051961822</v>
      </c>
      <c r="AY16" s="52">
        <v>0.66854165861949078</v>
      </c>
      <c r="AZ16" s="52">
        <v>0.5592475383346901</v>
      </c>
      <c r="BA16" s="52">
        <v>19.0159859784501</v>
      </c>
      <c r="BB16" s="52">
        <v>1.1266010286116472</v>
      </c>
      <c r="BC16" s="52">
        <v>1.5035628221315764</v>
      </c>
      <c r="BD16" s="52">
        <v>0.65453766470001085</v>
      </c>
      <c r="BE16" s="2">
        <v>4.7950924475829499E-4</v>
      </c>
      <c r="BF16" s="45">
        <v>0.83</v>
      </c>
      <c r="BG16" s="2" t="s">
        <v>489</v>
      </c>
      <c r="BH16" s="2">
        <v>1.76</v>
      </c>
      <c r="BI16" s="2">
        <v>0</v>
      </c>
      <c r="BJ16" s="2">
        <v>8</v>
      </c>
      <c r="BK16" s="2">
        <v>0.82</v>
      </c>
      <c r="BL16" s="2">
        <v>0.08</v>
      </c>
      <c r="BM16" s="1" t="s">
        <v>555</v>
      </c>
      <c r="BN16" s="29" t="s">
        <v>513</v>
      </c>
      <c r="BO16" s="29" t="s">
        <v>492</v>
      </c>
      <c r="BP16" s="29">
        <v>66</v>
      </c>
      <c r="BQ16" s="29">
        <v>0</v>
      </c>
      <c r="BR16" s="225" t="s">
        <v>493</v>
      </c>
      <c r="BS16" s="29" t="s">
        <v>494</v>
      </c>
      <c r="BT16" s="29" t="s">
        <v>495</v>
      </c>
      <c r="BU16" s="45" t="s">
        <v>4</v>
      </c>
      <c r="BV16" s="45" t="s">
        <v>496</v>
      </c>
      <c r="BW16" s="29" t="s">
        <v>497</v>
      </c>
      <c r="BX16" s="29" t="s">
        <v>498</v>
      </c>
      <c r="BY16" s="29">
        <v>1</v>
      </c>
      <c r="BZ16" s="29">
        <v>2.9</v>
      </c>
      <c r="CA16" s="29">
        <v>296</v>
      </c>
      <c r="CB16" s="225">
        <v>0.7</v>
      </c>
      <c r="CC16" s="2" t="s">
        <v>500</v>
      </c>
      <c r="CD16" s="29" t="s">
        <v>519</v>
      </c>
      <c r="CE16" s="29" t="s">
        <v>502</v>
      </c>
      <c r="CF16" s="29" t="s">
        <v>519</v>
      </c>
      <c r="CG16" s="29" t="s">
        <v>503</v>
      </c>
      <c r="CH16" s="29" t="s">
        <v>534</v>
      </c>
      <c r="CI16" s="29" t="s">
        <v>501</v>
      </c>
      <c r="CJ16" s="4" t="s">
        <v>571</v>
      </c>
      <c r="CK16" s="29">
        <v>2</v>
      </c>
      <c r="CL16" s="29">
        <v>0.85</v>
      </c>
      <c r="CM16" s="29" t="s">
        <v>522</v>
      </c>
      <c r="CN16" s="29" t="s">
        <v>538</v>
      </c>
      <c r="CO16" s="29" t="s">
        <v>509</v>
      </c>
      <c r="CP16" s="29" t="s">
        <v>547</v>
      </c>
      <c r="CQ16" s="29" t="s">
        <v>572</v>
      </c>
      <c r="CR16" s="29" t="s">
        <v>524</v>
      </c>
      <c r="CS16" s="29" t="s">
        <v>509</v>
      </c>
      <c r="CT16" s="29" t="s">
        <v>509</v>
      </c>
      <c r="CU16" s="47">
        <v>1</v>
      </c>
      <c r="CV16" s="225">
        <v>0</v>
      </c>
      <c r="CW16" s="47">
        <v>1</v>
      </c>
      <c r="CX16" s="225">
        <v>0</v>
      </c>
      <c r="CY16" s="225">
        <v>0</v>
      </c>
      <c r="CZ16" s="225">
        <v>0</v>
      </c>
      <c r="DA16" s="47">
        <v>1</v>
      </c>
      <c r="DB16" s="2">
        <v>0</v>
      </c>
      <c r="DC16" s="2">
        <v>0</v>
      </c>
      <c r="DD16" s="47">
        <v>1</v>
      </c>
      <c r="DE16" s="47">
        <v>1</v>
      </c>
      <c r="DF16" s="2">
        <v>0</v>
      </c>
      <c r="DG16" s="47">
        <v>1</v>
      </c>
      <c r="DH16" s="2">
        <v>0</v>
      </c>
      <c r="DI16" s="47">
        <v>1</v>
      </c>
      <c r="DJ16" s="47">
        <v>1</v>
      </c>
      <c r="DK16" s="2">
        <v>0</v>
      </c>
      <c r="DL16" s="225">
        <v>0</v>
      </c>
      <c r="DM16" s="225">
        <v>0</v>
      </c>
      <c r="DN16" s="2">
        <v>0</v>
      </c>
      <c r="DO16" s="2">
        <v>0</v>
      </c>
      <c r="DP16" s="2">
        <v>0</v>
      </c>
      <c r="DQ16" s="2">
        <v>0</v>
      </c>
      <c r="DR16" s="57">
        <v>1.17302345935252E-2</v>
      </c>
      <c r="DS16" s="227">
        <v>0</v>
      </c>
      <c r="DT16" s="227">
        <v>0</v>
      </c>
      <c r="DU16" s="57">
        <v>2.84914589383287E-2</v>
      </c>
      <c r="DV16" s="57">
        <v>3.4529329011366197E-2</v>
      </c>
      <c r="DW16" s="73">
        <v>0.24468892485419</v>
      </c>
      <c r="DX16" s="57">
        <v>3.9694677557772798E-2</v>
      </c>
      <c r="DY16" s="57">
        <v>6.1491953819178997E-2</v>
      </c>
      <c r="DZ16" s="57">
        <v>5.9734590965803101E-2</v>
      </c>
      <c r="EA16" s="57">
        <v>6.5983393943713997E-2</v>
      </c>
      <c r="EB16" s="61">
        <v>0</v>
      </c>
      <c r="EC16" s="60">
        <v>0.147325791857878</v>
      </c>
      <c r="ED16" s="57">
        <v>1.34247011246804E-2</v>
      </c>
      <c r="EE16" s="57">
        <v>1.6309346059920501E-3</v>
      </c>
      <c r="EF16" s="57">
        <v>3.333760946218E-2</v>
      </c>
      <c r="EG16" s="57">
        <v>3.2875777726890799E-2</v>
      </c>
      <c r="EH16" s="57">
        <v>4.7022482981983998E-2</v>
      </c>
      <c r="EI16" s="60">
        <v>0.12449240270876601</v>
      </c>
      <c r="EJ16" s="57">
        <v>1.21422219183605E-2</v>
      </c>
      <c r="EK16" s="57">
        <v>2.8089121424484401E-2</v>
      </c>
      <c r="EL16" s="57">
        <v>1.33143925049056E-2</v>
      </c>
    </row>
    <row r="17" spans="1:142" x14ac:dyDescent="0.25">
      <c r="A17" s="45" t="s">
        <v>60</v>
      </c>
      <c r="B17" s="29" t="s">
        <v>486</v>
      </c>
      <c r="C17" s="29">
        <v>1</v>
      </c>
      <c r="D17" s="29">
        <v>1</v>
      </c>
      <c r="E17" s="29">
        <v>1</v>
      </c>
      <c r="F17" s="29">
        <v>1</v>
      </c>
      <c r="G17" s="29">
        <v>1</v>
      </c>
      <c r="H17" s="29">
        <v>1</v>
      </c>
      <c r="I17" s="45">
        <v>1</v>
      </c>
      <c r="J17" s="2" t="s">
        <v>27</v>
      </c>
      <c r="K17" s="62" t="s">
        <v>20</v>
      </c>
      <c r="L17" s="62">
        <v>1</v>
      </c>
      <c r="M17" s="62">
        <v>2</v>
      </c>
      <c r="N17" s="63">
        <v>4</v>
      </c>
      <c r="O17" s="197">
        <v>4</v>
      </c>
      <c r="P17" s="197">
        <v>5</v>
      </c>
      <c r="Q17" s="49">
        <v>0</v>
      </c>
      <c r="R17" s="49">
        <v>0</v>
      </c>
      <c r="S17" s="227">
        <v>4</v>
      </c>
      <c r="T17" s="50" t="s">
        <v>488</v>
      </c>
      <c r="U17" s="2">
        <v>54</v>
      </c>
      <c r="V17" s="2">
        <v>47</v>
      </c>
      <c r="W17" s="5">
        <v>39</v>
      </c>
      <c r="X17" s="195" t="s">
        <v>3462</v>
      </c>
      <c r="Y17" s="63" t="s">
        <v>49</v>
      </c>
      <c r="Z17" s="29"/>
      <c r="AA17" s="67"/>
      <c r="AB17" s="67"/>
      <c r="AC17" s="67"/>
      <c r="AD17" s="67"/>
      <c r="AE17" s="67"/>
      <c r="AF17" s="45"/>
      <c r="AG17" s="45"/>
      <c r="AH17" s="69" t="s">
        <v>573</v>
      </c>
      <c r="AI17" s="51"/>
      <c r="AJ17" s="51"/>
      <c r="AK17" s="51"/>
      <c r="AL17" s="51"/>
      <c r="AM17" s="51"/>
      <c r="AN17" s="51"/>
      <c r="AO17" s="51"/>
      <c r="AP17" s="33" t="s">
        <v>3461</v>
      </c>
      <c r="AU17" s="29">
        <v>0.108867777993729</v>
      </c>
      <c r="AV17" s="227">
        <v>7.60270148306219</v>
      </c>
      <c r="AW17" s="52">
        <v>0.87508106438287747</v>
      </c>
      <c r="AX17" s="52">
        <v>1.5984062169843403</v>
      </c>
      <c r="AY17" s="52">
        <v>5.0451969528056484</v>
      </c>
      <c r="AZ17" s="52">
        <v>0.71974220757941776</v>
      </c>
      <c r="BA17" s="52">
        <v>128.76162567255957</v>
      </c>
      <c r="BB17" s="52">
        <v>0.90139081829641599</v>
      </c>
      <c r="BC17" s="52">
        <v>1.2701465303427821</v>
      </c>
      <c r="BD17" s="52">
        <v>0.69732409451962052</v>
      </c>
      <c r="BE17" s="225">
        <v>9.4867210354741805E-4</v>
      </c>
      <c r="BF17" s="65">
        <v>0.76</v>
      </c>
      <c r="BG17" s="2" t="s">
        <v>489</v>
      </c>
      <c r="BH17" s="225">
        <v>1.79</v>
      </c>
      <c r="BI17" s="2">
        <v>0</v>
      </c>
      <c r="BJ17" s="2">
        <v>10</v>
      </c>
      <c r="BK17" s="2">
        <v>0.74</v>
      </c>
      <c r="BL17" s="2">
        <v>0.04</v>
      </c>
      <c r="BM17" s="1" t="s">
        <v>555</v>
      </c>
      <c r="BN17" s="29" t="s">
        <v>513</v>
      </c>
      <c r="BO17" s="29" t="s">
        <v>492</v>
      </c>
      <c r="BP17" s="29">
        <v>57</v>
      </c>
      <c r="BQ17" s="29">
        <v>0</v>
      </c>
      <c r="BR17" s="225" t="s">
        <v>493</v>
      </c>
      <c r="BS17" s="29" t="s">
        <v>568</v>
      </c>
      <c r="BT17" s="29" t="s">
        <v>495</v>
      </c>
      <c r="BU17" s="45" t="s">
        <v>4</v>
      </c>
      <c r="BV17" s="45" t="s">
        <v>496</v>
      </c>
      <c r="BW17" s="29" t="s">
        <v>497</v>
      </c>
      <c r="BX17" s="29" t="s">
        <v>498</v>
      </c>
      <c r="BY17" s="29">
        <v>0</v>
      </c>
      <c r="BZ17" s="29">
        <v>3.5</v>
      </c>
      <c r="CA17" s="29">
        <v>34</v>
      </c>
      <c r="CB17" s="225">
        <v>0.4</v>
      </c>
      <c r="CC17" s="225" t="s">
        <v>500</v>
      </c>
      <c r="CD17" s="29" t="s">
        <v>519</v>
      </c>
      <c r="CE17" s="29" t="s">
        <v>502</v>
      </c>
      <c r="CF17" s="29" t="s">
        <v>519</v>
      </c>
      <c r="CG17" s="29" t="s">
        <v>503</v>
      </c>
      <c r="CH17" s="55" t="s">
        <v>360</v>
      </c>
      <c r="CI17" s="29" t="s">
        <v>501</v>
      </c>
      <c r="CJ17" s="4" t="s">
        <v>574</v>
      </c>
      <c r="CK17" s="29">
        <v>2</v>
      </c>
      <c r="CL17" s="29">
        <v>0.7</v>
      </c>
      <c r="CM17" s="29" t="s">
        <v>552</v>
      </c>
      <c r="CN17" s="29" t="s">
        <v>538</v>
      </c>
      <c r="CO17" s="29" t="s">
        <v>509</v>
      </c>
      <c r="CP17" s="29" t="s">
        <v>508</v>
      </c>
      <c r="CQ17" s="29" t="s">
        <v>548</v>
      </c>
      <c r="CR17" s="29" t="s">
        <v>524</v>
      </c>
      <c r="CS17" s="29" t="s">
        <v>509</v>
      </c>
      <c r="CT17" s="29" t="s">
        <v>509</v>
      </c>
      <c r="CU17" s="47">
        <v>1</v>
      </c>
      <c r="CV17" s="225">
        <v>0</v>
      </c>
      <c r="CW17" s="47">
        <v>1</v>
      </c>
      <c r="CX17" s="47">
        <v>1</v>
      </c>
      <c r="CY17" s="225">
        <v>0</v>
      </c>
      <c r="CZ17" s="225">
        <v>0</v>
      </c>
      <c r="DA17" s="47">
        <v>1</v>
      </c>
      <c r="DB17" s="47">
        <v>1</v>
      </c>
      <c r="DC17" s="225">
        <v>0</v>
      </c>
      <c r="DD17" s="225">
        <v>0</v>
      </c>
      <c r="DE17" s="225">
        <v>0</v>
      </c>
      <c r="DF17" s="2">
        <v>0</v>
      </c>
      <c r="DG17" s="225">
        <v>0</v>
      </c>
      <c r="DH17" s="47">
        <v>1</v>
      </c>
      <c r="DI17" s="47">
        <v>1</v>
      </c>
      <c r="DJ17" s="47">
        <v>1</v>
      </c>
      <c r="DK17" s="47">
        <v>1</v>
      </c>
      <c r="DL17" s="56">
        <v>1</v>
      </c>
      <c r="DM17" s="225">
        <v>0</v>
      </c>
      <c r="DN17" s="2">
        <v>0</v>
      </c>
      <c r="DO17" s="2">
        <v>0</v>
      </c>
      <c r="DP17" s="2">
        <v>0</v>
      </c>
      <c r="DQ17" s="225">
        <v>0</v>
      </c>
      <c r="DR17" s="57">
        <v>5.42433070490995E-2</v>
      </c>
      <c r="DS17" s="57">
        <v>1.7140388951768702E-2</v>
      </c>
      <c r="DT17" s="57">
        <v>8.0140318854472495E-2</v>
      </c>
      <c r="DU17" s="227">
        <v>0</v>
      </c>
      <c r="DV17" s="57">
        <v>4.2909216303351601E-2</v>
      </c>
      <c r="DW17" s="86">
        <v>0.132407000139832</v>
      </c>
      <c r="DX17" s="57">
        <v>8.7096988370732903E-2</v>
      </c>
      <c r="DY17" s="61">
        <v>0</v>
      </c>
      <c r="DZ17" s="57">
        <v>7.3684155991306705E-2</v>
      </c>
      <c r="EA17" s="57">
        <v>8.8697852991868803E-2</v>
      </c>
      <c r="EB17" s="61">
        <v>0</v>
      </c>
      <c r="EC17" s="57">
        <v>6.6459977447940397E-3</v>
      </c>
      <c r="ED17" s="57">
        <v>2.56919923495737E-2</v>
      </c>
      <c r="EE17" s="227">
        <v>0</v>
      </c>
      <c r="EF17" s="57">
        <v>5.9083114204396296E-3</v>
      </c>
      <c r="EG17" s="57">
        <v>7.6488911858508105E-2</v>
      </c>
      <c r="EH17" s="57">
        <v>3.9905371497985301E-2</v>
      </c>
      <c r="EI17" s="227">
        <v>0</v>
      </c>
      <c r="EJ17" s="60">
        <v>0.13814654810476201</v>
      </c>
      <c r="EK17" s="61">
        <v>0</v>
      </c>
      <c r="EL17" s="60">
        <v>0.130893638371504</v>
      </c>
    </row>
    <row r="18" spans="1:142" x14ac:dyDescent="0.25">
      <c r="A18" s="45" t="s">
        <v>55</v>
      </c>
      <c r="B18" s="29" t="s">
        <v>486</v>
      </c>
      <c r="C18" s="29">
        <v>1</v>
      </c>
      <c r="D18" s="29">
        <v>1</v>
      </c>
      <c r="E18" s="29">
        <v>1</v>
      </c>
      <c r="F18" s="29">
        <v>1</v>
      </c>
      <c r="G18" s="29">
        <v>1</v>
      </c>
      <c r="H18" s="29">
        <v>1</v>
      </c>
      <c r="I18" s="45">
        <v>2</v>
      </c>
      <c r="J18" s="225" t="s">
        <v>27</v>
      </c>
      <c r="K18" s="62" t="s">
        <v>20</v>
      </c>
      <c r="L18" s="62">
        <v>1</v>
      </c>
      <c r="M18" s="62">
        <v>2</v>
      </c>
      <c r="N18" s="63">
        <v>4</v>
      </c>
      <c r="O18" s="197">
        <v>2</v>
      </c>
      <c r="P18" s="197">
        <v>4</v>
      </c>
      <c r="Q18" s="49">
        <v>0</v>
      </c>
      <c r="R18" s="49">
        <v>0</v>
      </c>
      <c r="S18" s="227">
        <v>3</v>
      </c>
      <c r="T18" s="50">
        <v>6</v>
      </c>
      <c r="U18" s="2">
        <v>67</v>
      </c>
      <c r="V18" s="2">
        <v>53</v>
      </c>
      <c r="W18" s="5">
        <v>45</v>
      </c>
      <c r="X18" s="175" t="s">
        <v>3463</v>
      </c>
      <c r="Y18" s="63" t="s">
        <v>49</v>
      </c>
      <c r="Z18" s="29"/>
      <c r="AA18" s="67"/>
      <c r="AB18" s="67"/>
      <c r="AC18" s="67"/>
      <c r="AD18" s="67"/>
      <c r="AE18" s="91"/>
      <c r="AF18" s="97"/>
      <c r="AG18" s="97"/>
      <c r="AH18" s="51"/>
      <c r="AI18" s="51"/>
      <c r="AJ18" s="51"/>
      <c r="AK18" s="51"/>
      <c r="AL18" s="51"/>
      <c r="AM18" s="51"/>
      <c r="AN18" s="51"/>
      <c r="AO18" s="51"/>
      <c r="AU18" s="29">
        <v>9.4783400430734202E-2</v>
      </c>
      <c r="AV18" s="227">
        <v>6.6129735435166701</v>
      </c>
      <c r="AW18" s="52">
        <v>0.92104219837675261</v>
      </c>
      <c r="AX18" s="52">
        <v>0.88002558026414579</v>
      </c>
      <c r="AY18" s="52">
        <v>2.726709360085712</v>
      </c>
      <c r="AZ18" s="52">
        <v>0.67729571317499471</v>
      </c>
      <c r="BA18" s="52">
        <v>0.33245895268629161</v>
      </c>
      <c r="BB18" s="52">
        <v>0.77244691260373688</v>
      </c>
      <c r="BC18" s="52">
        <v>1.3959286177377452</v>
      </c>
      <c r="BD18" s="52">
        <v>0.66743047010253986</v>
      </c>
      <c r="BE18" s="225">
        <v>8.6497054405067502E-4</v>
      </c>
      <c r="BF18" s="45">
        <v>0.9</v>
      </c>
      <c r="BG18" s="2" t="s">
        <v>489</v>
      </c>
      <c r="BH18" s="225">
        <v>1.95</v>
      </c>
      <c r="BI18" s="2">
        <v>0</v>
      </c>
      <c r="BJ18" s="2">
        <v>8</v>
      </c>
      <c r="BK18" s="2">
        <v>0.9</v>
      </c>
      <c r="BL18" s="2">
        <v>0.14000000000000001</v>
      </c>
      <c r="BM18" s="1" t="s">
        <v>555</v>
      </c>
      <c r="BN18" s="29" t="s">
        <v>513</v>
      </c>
      <c r="BO18" s="29" t="s">
        <v>514</v>
      </c>
      <c r="BP18" s="29">
        <v>75</v>
      </c>
      <c r="BQ18" s="29">
        <v>1</v>
      </c>
      <c r="BR18" s="225" t="s">
        <v>493</v>
      </c>
      <c r="BS18" s="29" t="s">
        <v>494</v>
      </c>
      <c r="BT18" s="29" t="s">
        <v>495</v>
      </c>
      <c r="BU18" s="45" t="s">
        <v>4</v>
      </c>
      <c r="BV18" s="45" t="s">
        <v>496</v>
      </c>
      <c r="BW18" s="29" t="s">
        <v>497</v>
      </c>
      <c r="BX18" s="29" t="s">
        <v>498</v>
      </c>
      <c r="BY18" s="29">
        <v>1</v>
      </c>
      <c r="BZ18" s="29">
        <v>2.5</v>
      </c>
      <c r="CA18" s="29">
        <v>25</v>
      </c>
      <c r="CB18" s="225">
        <v>0.4</v>
      </c>
      <c r="CC18" s="225" t="s">
        <v>500</v>
      </c>
      <c r="CD18" s="29" t="s">
        <v>519</v>
      </c>
      <c r="CE18" s="29" t="s">
        <v>502</v>
      </c>
      <c r="CF18" s="29" t="s">
        <v>519</v>
      </c>
      <c r="CG18" s="29" t="s">
        <v>533</v>
      </c>
      <c r="CH18" s="29" t="s">
        <v>534</v>
      </c>
      <c r="CI18" s="29" t="s">
        <v>501</v>
      </c>
      <c r="CJ18" s="4" t="s">
        <v>591</v>
      </c>
      <c r="CK18" s="29">
        <v>2</v>
      </c>
      <c r="CL18" s="29">
        <v>0.55000000000000004</v>
      </c>
      <c r="CM18" s="29" t="s">
        <v>552</v>
      </c>
      <c r="CN18" s="29" t="s">
        <v>538</v>
      </c>
      <c r="CO18" s="29" t="s">
        <v>509</v>
      </c>
      <c r="CP18" s="29" t="s">
        <v>508</v>
      </c>
      <c r="CQ18" s="29" t="s">
        <v>548</v>
      </c>
      <c r="CR18" s="29" t="s">
        <v>524</v>
      </c>
      <c r="CS18" s="29" t="s">
        <v>509</v>
      </c>
      <c r="CT18" s="29" t="s">
        <v>509</v>
      </c>
      <c r="CU18" s="47">
        <v>1</v>
      </c>
      <c r="CV18" s="56">
        <v>1</v>
      </c>
      <c r="CW18" s="47">
        <v>1</v>
      </c>
      <c r="CX18" s="225">
        <v>0</v>
      </c>
      <c r="CY18" s="2">
        <v>0</v>
      </c>
      <c r="CZ18" s="56">
        <v>1</v>
      </c>
      <c r="DA18" s="47">
        <v>1</v>
      </c>
      <c r="DB18" s="225">
        <v>0</v>
      </c>
      <c r="DC18" s="225">
        <v>0</v>
      </c>
      <c r="DD18" s="47">
        <v>1</v>
      </c>
      <c r="DE18" s="2">
        <v>0</v>
      </c>
      <c r="DF18" s="225">
        <v>0</v>
      </c>
      <c r="DG18" s="225">
        <v>0</v>
      </c>
      <c r="DH18" s="47">
        <v>1</v>
      </c>
      <c r="DI18" s="47">
        <v>1</v>
      </c>
      <c r="DJ18" s="47">
        <v>1</v>
      </c>
      <c r="DK18" s="225">
        <v>0</v>
      </c>
      <c r="DL18" s="225">
        <v>0</v>
      </c>
      <c r="DM18" s="2">
        <v>0</v>
      </c>
      <c r="DN18" s="56">
        <v>1</v>
      </c>
      <c r="DO18" s="47">
        <v>1</v>
      </c>
      <c r="DP18" s="225">
        <v>0</v>
      </c>
      <c r="DQ18" s="2">
        <v>0</v>
      </c>
      <c r="DR18" s="57">
        <v>3.6188934788880502E-2</v>
      </c>
      <c r="DS18" s="57">
        <v>3.44150038561198E-2</v>
      </c>
      <c r="DT18" s="227">
        <v>0</v>
      </c>
      <c r="DU18" s="57">
        <v>1.2349474395617E-2</v>
      </c>
      <c r="DV18" s="60">
        <v>0.107438410110873</v>
      </c>
      <c r="DW18" s="73">
        <v>0.20507224514960801</v>
      </c>
      <c r="DX18" s="57">
        <v>4.0959647632567701E-2</v>
      </c>
      <c r="DY18" s="60">
        <v>0.123915667855692</v>
      </c>
      <c r="DZ18" s="227">
        <v>0</v>
      </c>
      <c r="EA18" s="57">
        <v>4.6931279438549604E-3</v>
      </c>
      <c r="EB18" s="61">
        <v>0</v>
      </c>
      <c r="EC18" s="57">
        <v>4.64465249888956E-2</v>
      </c>
      <c r="ED18" s="57">
        <v>2.29230347358431E-2</v>
      </c>
      <c r="EE18" s="57">
        <v>9.2691690040799399E-2</v>
      </c>
      <c r="EF18" s="57">
        <v>1.31250139583387E-2</v>
      </c>
      <c r="EG18" s="57">
        <v>5.76009259443689E-2</v>
      </c>
      <c r="EH18" s="57">
        <v>9.2905120356107401E-2</v>
      </c>
      <c r="EI18" s="57">
        <v>5.04613304040267E-2</v>
      </c>
      <c r="EJ18" s="57">
        <v>2.9929191029653201E-2</v>
      </c>
      <c r="EK18" s="61">
        <v>0</v>
      </c>
      <c r="EL18" s="57">
        <v>2.8884656808754201E-2</v>
      </c>
    </row>
    <row r="19" spans="1:142" x14ac:dyDescent="0.25">
      <c r="A19" s="45" t="s">
        <v>69</v>
      </c>
      <c r="B19" s="29" t="s">
        <v>486</v>
      </c>
      <c r="C19" s="29">
        <v>1</v>
      </c>
      <c r="D19" s="29">
        <v>1</v>
      </c>
      <c r="E19" s="29">
        <v>1</v>
      </c>
      <c r="F19" s="29">
        <v>1</v>
      </c>
      <c r="G19" s="29">
        <v>1</v>
      </c>
      <c r="H19" s="29">
        <v>1</v>
      </c>
      <c r="I19" s="45">
        <v>2</v>
      </c>
      <c r="J19" s="2" t="s">
        <v>27</v>
      </c>
      <c r="K19" s="62" t="s">
        <v>20</v>
      </c>
      <c r="L19" s="62">
        <v>1</v>
      </c>
      <c r="M19" s="62">
        <v>2</v>
      </c>
      <c r="N19" s="75">
        <v>3</v>
      </c>
      <c r="O19" s="197">
        <v>2</v>
      </c>
      <c r="P19" s="197">
        <v>4</v>
      </c>
      <c r="Q19" s="49">
        <v>0</v>
      </c>
      <c r="R19" s="49">
        <v>0</v>
      </c>
      <c r="S19" s="197">
        <v>2</v>
      </c>
      <c r="T19" s="50" t="s">
        <v>488</v>
      </c>
      <c r="U19" s="2">
        <v>58</v>
      </c>
      <c r="V19" s="2">
        <v>47</v>
      </c>
      <c r="W19" s="5">
        <v>39</v>
      </c>
      <c r="X19" s="29"/>
      <c r="Y19" s="29"/>
      <c r="Z19" s="29"/>
      <c r="AA19" s="67"/>
      <c r="AB19" s="67"/>
      <c r="AC19" s="81" t="s">
        <v>33</v>
      </c>
      <c r="AD19" s="67"/>
      <c r="AE19" s="67"/>
      <c r="AG19" s="97"/>
      <c r="AH19" s="51"/>
      <c r="AI19" s="51"/>
      <c r="AJ19" s="51"/>
      <c r="AK19" s="51"/>
      <c r="AL19" s="51"/>
      <c r="AM19" s="51"/>
      <c r="AN19" s="51"/>
      <c r="AO19" s="51"/>
      <c r="AU19" s="29">
        <v>0.22842032297315601</v>
      </c>
      <c r="AV19" s="227">
        <v>9.5485035527714697</v>
      </c>
      <c r="AW19" s="52">
        <v>0.75147749444892165</v>
      </c>
      <c r="AX19" s="52">
        <v>0.94341176062221876</v>
      </c>
      <c r="AY19" s="52">
        <v>0.40962333251493582</v>
      </c>
      <c r="AZ19" s="52">
        <v>0.58281470834111904</v>
      </c>
      <c r="BA19" s="52">
        <v>0.24309227304960127</v>
      </c>
      <c r="BB19" s="52">
        <v>0.65712798983359233</v>
      </c>
      <c r="BC19" s="52">
        <v>1.5716240338355678</v>
      </c>
      <c r="BD19" s="52">
        <v>0.48466063311236274</v>
      </c>
      <c r="BE19" s="2">
        <v>6.19427986923739E-4</v>
      </c>
      <c r="BF19" s="65">
        <v>0.69</v>
      </c>
      <c r="BG19" s="2" t="s">
        <v>489</v>
      </c>
      <c r="BH19" s="2">
        <v>1.71</v>
      </c>
      <c r="BI19" s="2">
        <v>0</v>
      </c>
      <c r="BJ19" s="2">
        <v>10</v>
      </c>
      <c r="BK19" s="2">
        <v>0.65</v>
      </c>
      <c r="BL19" s="2">
        <v>7.0000000000000007E-2</v>
      </c>
      <c r="BM19" s="1" t="s">
        <v>555</v>
      </c>
      <c r="BN19" s="29" t="s">
        <v>513</v>
      </c>
      <c r="BO19" s="29" t="s">
        <v>514</v>
      </c>
      <c r="BP19" s="29">
        <v>55</v>
      </c>
      <c r="BQ19" s="29">
        <v>1</v>
      </c>
      <c r="BR19" s="2" t="s">
        <v>493</v>
      </c>
      <c r="BS19" s="29" t="s">
        <v>568</v>
      </c>
      <c r="BT19" s="29" t="s">
        <v>495</v>
      </c>
      <c r="BU19" s="45" t="s">
        <v>4</v>
      </c>
      <c r="BV19" s="45" t="s">
        <v>496</v>
      </c>
      <c r="BW19" s="29" t="s">
        <v>497</v>
      </c>
      <c r="BX19" s="29" t="s">
        <v>498</v>
      </c>
      <c r="BY19" s="29">
        <v>0</v>
      </c>
      <c r="BZ19" s="29">
        <v>2.2000000000000002</v>
      </c>
      <c r="CA19" s="29">
        <v>199</v>
      </c>
      <c r="CB19" s="2">
        <v>0.3</v>
      </c>
      <c r="CC19" s="2" t="s">
        <v>518</v>
      </c>
      <c r="CD19" s="29" t="s">
        <v>519</v>
      </c>
      <c r="CE19" s="29" t="s">
        <v>502</v>
      </c>
      <c r="CF19" s="29" t="s">
        <v>519</v>
      </c>
      <c r="CG19" s="29" t="s">
        <v>533</v>
      </c>
      <c r="CH19" s="29" t="s">
        <v>534</v>
      </c>
      <c r="CI19" s="29" t="s">
        <v>501</v>
      </c>
      <c r="CJ19" s="4">
        <v>1471</v>
      </c>
      <c r="CK19" s="29">
        <v>3</v>
      </c>
      <c r="CL19" s="29">
        <v>0.1</v>
      </c>
      <c r="CM19" s="29" t="s">
        <v>552</v>
      </c>
      <c r="CN19" s="29" t="s">
        <v>507</v>
      </c>
      <c r="CO19" s="29" t="s">
        <v>508</v>
      </c>
      <c r="CP19" s="29" t="s">
        <v>509</v>
      </c>
      <c r="CQ19" s="29" t="s">
        <v>548</v>
      </c>
      <c r="CR19" s="29" t="s">
        <v>524</v>
      </c>
      <c r="CS19" s="29" t="s">
        <v>509</v>
      </c>
      <c r="CT19" s="55" t="s">
        <v>511</v>
      </c>
      <c r="CU19" s="47">
        <v>1</v>
      </c>
      <c r="CV19" s="225">
        <v>0</v>
      </c>
      <c r="CW19" s="47">
        <v>1</v>
      </c>
      <c r="CX19" s="47">
        <v>1</v>
      </c>
      <c r="CY19" s="2">
        <v>0</v>
      </c>
      <c r="CZ19" s="225">
        <v>0</v>
      </c>
      <c r="DA19" s="47">
        <v>1</v>
      </c>
      <c r="DB19" s="2">
        <v>0</v>
      </c>
      <c r="DC19" s="2">
        <v>0</v>
      </c>
      <c r="DD19" s="47">
        <v>1</v>
      </c>
      <c r="DE19" s="47">
        <v>1</v>
      </c>
      <c r="DF19" s="225">
        <v>0</v>
      </c>
      <c r="DG19" s="2">
        <v>0</v>
      </c>
      <c r="DH19" s="2">
        <v>0</v>
      </c>
      <c r="DI19" s="47">
        <v>1</v>
      </c>
      <c r="DJ19" s="225">
        <v>0</v>
      </c>
      <c r="DK19" s="47">
        <v>1</v>
      </c>
      <c r="DL19" s="2">
        <v>0</v>
      </c>
      <c r="DM19" s="225">
        <v>0</v>
      </c>
      <c r="DN19" s="2">
        <v>0</v>
      </c>
      <c r="DO19" s="225">
        <v>0</v>
      </c>
      <c r="DP19" s="225">
        <v>0</v>
      </c>
      <c r="DQ19" s="2">
        <v>0</v>
      </c>
      <c r="DR19" s="57">
        <v>5.9749835475388702E-2</v>
      </c>
      <c r="DS19" s="60">
        <v>0.12682494872768299</v>
      </c>
      <c r="DT19" s="57">
        <v>6.2231372038329298E-2</v>
      </c>
      <c r="DU19" s="60">
        <v>0.10334314431909999</v>
      </c>
      <c r="DV19" s="57">
        <v>9.5650756210884993E-3</v>
      </c>
      <c r="DW19" s="66">
        <v>9.8815478698397102E-2</v>
      </c>
      <c r="DX19" s="61">
        <v>0</v>
      </c>
      <c r="DY19" s="57">
        <v>6.3700092878887907E-2</v>
      </c>
      <c r="DZ19" s="227">
        <v>0</v>
      </c>
      <c r="EA19" s="57">
        <v>5.4275386732432401E-2</v>
      </c>
      <c r="EB19" s="57">
        <v>5.8954307545314701E-2</v>
      </c>
      <c r="EC19" s="227">
        <v>0</v>
      </c>
      <c r="ED19" s="61">
        <v>0</v>
      </c>
      <c r="EE19" s="58">
        <v>0.192274125776421</v>
      </c>
      <c r="EF19" s="227">
        <v>0</v>
      </c>
      <c r="EG19" s="57">
        <v>4.66371008883152E-2</v>
      </c>
      <c r="EH19" s="61">
        <v>0</v>
      </c>
      <c r="EI19" s="57">
        <v>4.0420832994037099E-2</v>
      </c>
      <c r="EJ19" s="57">
        <v>8.0052617468885104E-2</v>
      </c>
      <c r="EK19" s="57">
        <v>2.6612131685321001E-3</v>
      </c>
      <c r="EL19" s="99">
        <v>4.94467667187154E-4</v>
      </c>
    </row>
    <row r="20" spans="1:142" x14ac:dyDescent="0.25">
      <c r="A20" s="45" t="s">
        <v>54</v>
      </c>
      <c r="B20" s="29" t="s">
        <v>486</v>
      </c>
      <c r="C20" s="29">
        <v>1</v>
      </c>
      <c r="D20" s="29">
        <v>1</v>
      </c>
      <c r="E20" s="29">
        <v>1</v>
      </c>
      <c r="F20" s="29">
        <v>1</v>
      </c>
      <c r="G20" s="29">
        <v>1</v>
      </c>
      <c r="H20" s="29">
        <v>1</v>
      </c>
      <c r="I20" s="45">
        <v>2</v>
      </c>
      <c r="J20" s="2" t="s">
        <v>27</v>
      </c>
      <c r="K20" s="62" t="s">
        <v>20</v>
      </c>
      <c r="L20" s="62">
        <v>1</v>
      </c>
      <c r="M20" s="62">
        <v>2</v>
      </c>
      <c r="N20" s="63">
        <v>4</v>
      </c>
      <c r="O20" s="197">
        <v>1</v>
      </c>
      <c r="P20" s="197">
        <v>3</v>
      </c>
      <c r="Q20" s="49">
        <v>0</v>
      </c>
      <c r="R20" s="49">
        <v>0</v>
      </c>
      <c r="S20" s="197">
        <v>4</v>
      </c>
      <c r="T20" s="50" t="s">
        <v>488</v>
      </c>
      <c r="U20" s="2">
        <v>61</v>
      </c>
      <c r="V20" s="2">
        <v>50</v>
      </c>
      <c r="W20" s="5">
        <v>39</v>
      </c>
      <c r="X20" s="29"/>
      <c r="Y20" s="29"/>
      <c r="Z20" s="63" t="s">
        <v>43</v>
      </c>
      <c r="AA20" s="67"/>
      <c r="AB20" s="67"/>
      <c r="AC20" s="67"/>
      <c r="AD20" s="67"/>
      <c r="AE20" s="67"/>
      <c r="AF20" s="67"/>
      <c r="AG20" s="51"/>
      <c r="AH20" s="51"/>
      <c r="AI20" s="51"/>
      <c r="AJ20" s="51"/>
      <c r="AK20" s="51"/>
      <c r="AL20" s="51"/>
      <c r="AM20" s="51"/>
      <c r="AN20" s="51"/>
      <c r="AO20" s="33" t="s">
        <v>512</v>
      </c>
      <c r="AP20" s="33" t="s">
        <v>3461</v>
      </c>
      <c r="AU20" s="29">
        <v>0.13786346141967601</v>
      </c>
      <c r="AV20" s="227">
        <v>10.994087637579099</v>
      </c>
      <c r="AW20" s="52">
        <v>1.2067568708569194</v>
      </c>
      <c r="AX20" s="52">
        <v>1.0961888963546627</v>
      </c>
      <c r="AY20" s="52">
        <v>3.7588836312125138</v>
      </c>
      <c r="AZ20" s="52">
        <v>1.0953238595058716</v>
      </c>
      <c r="BA20" s="52">
        <v>0</v>
      </c>
      <c r="BB20" s="52">
        <v>1.2877632783764617</v>
      </c>
      <c r="BC20" s="52">
        <v>1.4033346369910831</v>
      </c>
      <c r="BD20" s="52">
        <v>0.81615619397131856</v>
      </c>
      <c r="BE20" s="2">
        <v>1.00198326460608E-3</v>
      </c>
      <c r="BF20" s="65">
        <v>0.78</v>
      </c>
      <c r="BG20" s="2" t="s">
        <v>489</v>
      </c>
      <c r="BH20" s="2">
        <v>1.77</v>
      </c>
      <c r="BI20" s="2">
        <v>0</v>
      </c>
      <c r="BJ20" s="2">
        <v>9</v>
      </c>
      <c r="BK20" s="2">
        <v>0.76</v>
      </c>
      <c r="BL20" s="2">
        <v>0.01</v>
      </c>
      <c r="BM20" s="1" t="s">
        <v>555</v>
      </c>
      <c r="BN20" s="29" t="s">
        <v>513</v>
      </c>
      <c r="BO20" s="29" t="s">
        <v>514</v>
      </c>
      <c r="BP20" s="29">
        <v>46</v>
      </c>
      <c r="BQ20" s="29">
        <v>0</v>
      </c>
      <c r="BR20" s="2" t="s">
        <v>493</v>
      </c>
      <c r="BS20" s="29" t="s">
        <v>494</v>
      </c>
      <c r="BT20" s="29" t="s">
        <v>495</v>
      </c>
      <c r="BU20" s="45" t="s">
        <v>4</v>
      </c>
      <c r="BV20" s="45" t="s">
        <v>496</v>
      </c>
      <c r="BW20" s="29" t="s">
        <v>556</v>
      </c>
      <c r="BX20" s="29" t="s">
        <v>498</v>
      </c>
      <c r="BY20" s="29">
        <v>0</v>
      </c>
      <c r="BZ20" s="29" t="s">
        <v>499</v>
      </c>
      <c r="CA20" s="29" t="s">
        <v>3</v>
      </c>
      <c r="CB20" s="225">
        <v>0.3</v>
      </c>
      <c r="CC20" s="2" t="s">
        <v>518</v>
      </c>
      <c r="CD20" s="29" t="s">
        <v>501</v>
      </c>
      <c r="CE20" s="29" t="s">
        <v>502</v>
      </c>
      <c r="CF20" s="29" t="s">
        <v>501</v>
      </c>
      <c r="CG20" s="29" t="s">
        <v>533</v>
      </c>
      <c r="CH20" s="29" t="s">
        <v>594</v>
      </c>
      <c r="CI20" s="29" t="s">
        <v>519</v>
      </c>
      <c r="CJ20" s="4">
        <v>808</v>
      </c>
      <c r="CK20" s="29">
        <v>2</v>
      </c>
      <c r="CL20" s="29">
        <v>0.85</v>
      </c>
      <c r="CM20" s="29" t="s">
        <v>522</v>
      </c>
      <c r="CN20" s="29" t="s">
        <v>507</v>
      </c>
      <c r="CO20" s="29" t="s">
        <v>508</v>
      </c>
      <c r="CP20" s="29" t="s">
        <v>509</v>
      </c>
      <c r="CQ20" s="29" t="s">
        <v>572</v>
      </c>
      <c r="CR20" s="29" t="s">
        <v>524</v>
      </c>
      <c r="CS20" s="29" t="s">
        <v>511</v>
      </c>
      <c r="CT20" s="29" t="s">
        <v>509</v>
      </c>
      <c r="CU20" s="47">
        <v>1</v>
      </c>
      <c r="CV20" s="225">
        <v>0</v>
      </c>
      <c r="CW20" s="47">
        <v>1</v>
      </c>
      <c r="CX20" s="47">
        <v>1</v>
      </c>
      <c r="CY20" s="225">
        <v>0</v>
      </c>
      <c r="CZ20" s="2">
        <v>0</v>
      </c>
      <c r="DA20" s="47">
        <v>1</v>
      </c>
      <c r="DB20" s="225">
        <v>0</v>
      </c>
      <c r="DC20" s="225">
        <v>0</v>
      </c>
      <c r="DD20" s="225">
        <v>0</v>
      </c>
      <c r="DE20" s="225">
        <v>0</v>
      </c>
      <c r="DF20" s="2">
        <v>0</v>
      </c>
      <c r="DG20" s="2">
        <v>0</v>
      </c>
      <c r="DH20" s="2">
        <v>0</v>
      </c>
      <c r="DI20" s="225">
        <v>0</v>
      </c>
      <c r="DJ20" s="47">
        <v>1</v>
      </c>
      <c r="DK20" s="47">
        <v>1</v>
      </c>
      <c r="DL20" s="2">
        <v>0</v>
      </c>
      <c r="DM20" s="2">
        <v>0</v>
      </c>
      <c r="DN20" s="2">
        <v>0</v>
      </c>
      <c r="DO20" s="47">
        <v>1</v>
      </c>
      <c r="DP20" s="47">
        <v>1</v>
      </c>
      <c r="DQ20" s="225">
        <v>0</v>
      </c>
      <c r="DR20" s="57">
        <v>6.6637796623552598E-2</v>
      </c>
      <c r="DS20" s="227">
        <v>0</v>
      </c>
      <c r="DT20" s="58">
        <v>0.178417473921817</v>
      </c>
      <c r="DU20" s="58">
        <v>0.18574301637612001</v>
      </c>
      <c r="DV20" s="57">
        <v>5.1262754476447403E-3</v>
      </c>
      <c r="DW20" s="66">
        <v>8.6219914831767094E-2</v>
      </c>
      <c r="DX20" s="57">
        <v>1.77133551644716E-2</v>
      </c>
      <c r="DY20" s="57">
        <v>6.5315956891527804E-2</v>
      </c>
      <c r="DZ20" s="227">
        <v>0</v>
      </c>
      <c r="EA20" s="227">
        <v>0</v>
      </c>
      <c r="EB20" s="57">
        <v>4.3913772613630997E-2</v>
      </c>
      <c r="EC20" s="57">
        <v>1.08417657520424E-2</v>
      </c>
      <c r="ED20" s="61">
        <v>0</v>
      </c>
      <c r="EE20" s="60">
        <v>0.11239943699419699</v>
      </c>
      <c r="EF20" s="57">
        <v>5.7686665478845399E-2</v>
      </c>
      <c r="EG20" s="57">
        <v>8.4835483490047103E-2</v>
      </c>
      <c r="EH20" s="61">
        <v>0</v>
      </c>
      <c r="EI20" s="57">
        <v>1.5956380263407701E-2</v>
      </c>
      <c r="EJ20" s="61">
        <v>0</v>
      </c>
      <c r="EK20" s="61">
        <v>0</v>
      </c>
      <c r="EL20" s="57">
        <v>6.9192706150928193E-2</v>
      </c>
    </row>
    <row r="21" spans="1:142" x14ac:dyDescent="0.25">
      <c r="A21" s="45" t="s">
        <v>48</v>
      </c>
      <c r="B21" s="29" t="s">
        <v>486</v>
      </c>
      <c r="C21" s="29">
        <v>1</v>
      </c>
      <c r="D21" s="29">
        <v>1</v>
      </c>
      <c r="E21" s="29">
        <v>1</v>
      </c>
      <c r="F21" s="29">
        <v>1</v>
      </c>
      <c r="G21" s="29">
        <v>1</v>
      </c>
      <c r="H21" s="29">
        <v>1</v>
      </c>
      <c r="I21" s="45">
        <v>1</v>
      </c>
      <c r="J21" s="2" t="s">
        <v>27</v>
      </c>
      <c r="K21" s="62" t="s">
        <v>20</v>
      </c>
      <c r="L21" s="62">
        <v>1</v>
      </c>
      <c r="M21" s="47">
        <v>1</v>
      </c>
      <c r="N21" s="63">
        <v>4</v>
      </c>
      <c r="O21" s="197">
        <v>2</v>
      </c>
      <c r="P21" s="197">
        <v>5</v>
      </c>
      <c r="Q21" s="49">
        <v>0</v>
      </c>
      <c r="R21" s="49">
        <v>0</v>
      </c>
      <c r="S21" s="227">
        <v>4</v>
      </c>
      <c r="T21" s="50">
        <v>6</v>
      </c>
      <c r="U21" s="2">
        <v>50</v>
      </c>
      <c r="V21" s="2">
        <v>42</v>
      </c>
      <c r="W21" s="5">
        <v>29</v>
      </c>
      <c r="X21" s="29"/>
      <c r="Y21" s="63" t="s">
        <v>49</v>
      </c>
      <c r="Z21" s="29"/>
      <c r="AA21" s="80" t="s">
        <v>26</v>
      </c>
      <c r="AB21" s="67"/>
      <c r="AC21" s="67"/>
      <c r="AD21" s="67"/>
      <c r="AE21" s="67"/>
      <c r="AF21" s="67"/>
      <c r="AG21" s="51"/>
      <c r="AH21" s="51"/>
      <c r="AI21" s="51"/>
      <c r="AJ21" s="51"/>
      <c r="AK21" s="51"/>
      <c r="AL21" s="51"/>
      <c r="AM21" s="51"/>
      <c r="AN21" s="51"/>
      <c r="AO21" s="51"/>
      <c r="AT21" s="77" t="s">
        <v>58</v>
      </c>
      <c r="AU21" s="29">
        <v>9.5692908775932894E-2</v>
      </c>
      <c r="AV21" s="227">
        <v>16.018448406415601</v>
      </c>
      <c r="AW21" s="52">
        <v>0.82595247322777821</v>
      </c>
      <c r="AX21" s="52">
        <v>0.97014272400013324</v>
      </c>
      <c r="AY21" s="52">
        <v>3.1239754480433759</v>
      </c>
      <c r="AZ21" s="52">
        <v>0.74699583088947474</v>
      </c>
      <c r="BA21" s="52">
        <v>153.04663758086355</v>
      </c>
      <c r="BB21" s="52">
        <v>0.71037286131332922</v>
      </c>
      <c r="BC21" s="52">
        <v>1.3097017754120941</v>
      </c>
      <c r="BD21" s="52">
        <v>0.77949162179477749</v>
      </c>
      <c r="BE21" s="2">
        <v>1.57602460059116E-3</v>
      </c>
      <c r="BF21" s="65">
        <v>0.75</v>
      </c>
      <c r="BG21" s="2" t="s">
        <v>489</v>
      </c>
      <c r="BH21" s="2">
        <v>1.85</v>
      </c>
      <c r="BI21" s="2">
        <v>0</v>
      </c>
      <c r="BJ21" s="2">
        <v>10</v>
      </c>
      <c r="BK21" s="2">
        <v>0.74</v>
      </c>
      <c r="BL21" s="2">
        <v>0</v>
      </c>
      <c r="BM21" s="1" t="s">
        <v>597</v>
      </c>
      <c r="BN21" s="29" t="s">
        <v>513</v>
      </c>
      <c r="BO21" s="29" t="s">
        <v>492</v>
      </c>
      <c r="BP21" s="29">
        <v>52</v>
      </c>
      <c r="BQ21" s="29" t="s">
        <v>0</v>
      </c>
      <c r="BR21" s="2" t="s">
        <v>583</v>
      </c>
      <c r="BS21" s="29" t="s">
        <v>494</v>
      </c>
      <c r="BT21" s="29" t="s">
        <v>550</v>
      </c>
      <c r="BU21" s="45" t="s">
        <v>542</v>
      </c>
      <c r="BV21" s="45" t="s">
        <v>516</v>
      </c>
      <c r="BW21" s="71" t="s">
        <v>529</v>
      </c>
      <c r="BX21" s="29" t="s">
        <v>530</v>
      </c>
      <c r="BY21" s="29">
        <v>0</v>
      </c>
      <c r="BZ21" s="29">
        <v>1.38</v>
      </c>
      <c r="CA21" s="29">
        <v>18.149999999999999</v>
      </c>
      <c r="CB21" s="2">
        <v>2.06</v>
      </c>
      <c r="CC21" s="2" t="s">
        <v>499</v>
      </c>
      <c r="CD21" s="29" t="s">
        <v>501</v>
      </c>
      <c r="CE21" s="29" t="s">
        <v>535</v>
      </c>
      <c r="CF21" s="29" t="s">
        <v>519</v>
      </c>
      <c r="CG21" s="29" t="s">
        <v>503</v>
      </c>
      <c r="CH21" s="29" t="s">
        <v>534</v>
      </c>
      <c r="CI21" s="29" t="s">
        <v>501</v>
      </c>
      <c r="CJ21" s="4" t="s">
        <v>598</v>
      </c>
      <c r="CK21" s="29">
        <v>2</v>
      </c>
      <c r="CL21" s="29">
        <v>0.8</v>
      </c>
      <c r="CM21" s="29" t="s">
        <v>522</v>
      </c>
      <c r="CN21" s="29" t="s">
        <v>507</v>
      </c>
      <c r="CO21" s="29" t="s">
        <v>508</v>
      </c>
      <c r="CP21" s="29" t="s">
        <v>509</v>
      </c>
      <c r="CQ21" s="29" t="s">
        <v>510</v>
      </c>
      <c r="CR21" s="29">
        <v>0</v>
      </c>
      <c r="CS21" s="29" t="s">
        <v>509</v>
      </c>
      <c r="CT21" s="29" t="s">
        <v>509</v>
      </c>
      <c r="CU21" s="47">
        <v>1</v>
      </c>
      <c r="CV21" s="225">
        <v>0</v>
      </c>
      <c r="CW21" s="47">
        <v>1</v>
      </c>
      <c r="CX21" s="2">
        <v>0</v>
      </c>
      <c r="CY21" s="225">
        <v>0</v>
      </c>
      <c r="CZ21" s="225">
        <v>0</v>
      </c>
      <c r="DA21" s="47">
        <v>1</v>
      </c>
      <c r="DB21" s="2">
        <v>0</v>
      </c>
      <c r="DC21" s="225">
        <v>0</v>
      </c>
      <c r="DD21" s="225">
        <v>0</v>
      </c>
      <c r="DE21" s="47">
        <v>1</v>
      </c>
      <c r="DF21" s="225">
        <v>0</v>
      </c>
      <c r="DG21" s="47">
        <v>1</v>
      </c>
      <c r="DH21" s="47">
        <v>1</v>
      </c>
      <c r="DI21" s="225">
        <v>0</v>
      </c>
      <c r="DJ21" s="225">
        <v>0</v>
      </c>
      <c r="DK21" s="2">
        <v>0</v>
      </c>
      <c r="DL21" s="2">
        <v>0</v>
      </c>
      <c r="DM21" s="225">
        <v>0</v>
      </c>
      <c r="DN21" s="2">
        <v>0</v>
      </c>
      <c r="DO21" s="225">
        <v>0</v>
      </c>
      <c r="DP21" s="2">
        <v>0</v>
      </c>
      <c r="DQ21" s="2">
        <v>0</v>
      </c>
      <c r="DR21" s="227">
        <v>0</v>
      </c>
      <c r="DS21">
        <v>0</v>
      </c>
      <c r="DT21" s="57">
        <v>1.4493195912450201E-2</v>
      </c>
      <c r="DU21" s="227">
        <v>0</v>
      </c>
      <c r="DV21" s="57">
        <v>5.5436939159954401E-2</v>
      </c>
      <c r="DW21" s="73">
        <v>0.21483285722134801</v>
      </c>
      <c r="DX21" s="227">
        <v>0</v>
      </c>
      <c r="DY21" s="57">
        <v>4.5335446678176197E-2</v>
      </c>
      <c r="DZ21" s="227">
        <v>0</v>
      </c>
      <c r="EA21" s="57">
        <v>5.4892539181094303E-2</v>
      </c>
      <c r="EB21" s="61">
        <v>0</v>
      </c>
      <c r="EC21" s="60">
        <v>0.123772527025778</v>
      </c>
      <c r="ED21" s="57">
        <v>2.3132351354608002E-2</v>
      </c>
      <c r="EE21" s="57">
        <v>5.5432645509252997E-2</v>
      </c>
      <c r="EF21" s="227">
        <v>0</v>
      </c>
      <c r="EG21" s="57">
        <v>5.2145585144542303E-2</v>
      </c>
      <c r="EH21" s="57">
        <v>9.3262977110652498E-2</v>
      </c>
      <c r="EI21" s="60">
        <v>0.118208540121699</v>
      </c>
      <c r="EJ21" s="60">
        <v>0.102113291560828</v>
      </c>
      <c r="EK21" s="57">
        <v>2.6243797560492801E-2</v>
      </c>
      <c r="EL21" s="57">
        <v>2.06973064591232E-2</v>
      </c>
    </row>
    <row r="22" spans="1:142" x14ac:dyDescent="0.25">
      <c r="A22" s="45" t="s">
        <v>34</v>
      </c>
      <c r="B22" s="29" t="s">
        <v>486</v>
      </c>
      <c r="C22" s="29">
        <v>1</v>
      </c>
      <c r="D22" s="29">
        <v>1</v>
      </c>
      <c r="E22" s="29">
        <v>1</v>
      </c>
      <c r="F22" s="29">
        <v>1</v>
      </c>
      <c r="G22" s="29">
        <v>1</v>
      </c>
      <c r="H22" s="29" t="s">
        <v>257</v>
      </c>
      <c r="I22" s="45">
        <v>2</v>
      </c>
      <c r="J22" s="2" t="s">
        <v>27</v>
      </c>
      <c r="K22" s="46" t="s">
        <v>576</v>
      </c>
      <c r="L22" s="62">
        <v>1</v>
      </c>
      <c r="M22" s="56">
        <v>4</v>
      </c>
      <c r="N22" s="95">
        <v>2</v>
      </c>
      <c r="O22" s="197">
        <v>3</v>
      </c>
      <c r="P22" s="197">
        <v>5</v>
      </c>
      <c r="Q22" s="49">
        <v>0</v>
      </c>
      <c r="R22" s="49">
        <v>0</v>
      </c>
      <c r="S22" s="29"/>
      <c r="T22" s="50">
        <v>6</v>
      </c>
      <c r="U22" s="2">
        <v>61</v>
      </c>
      <c r="V22" s="2">
        <v>49</v>
      </c>
      <c r="W22" s="5">
        <v>36</v>
      </c>
      <c r="X22" s="29"/>
      <c r="Y22" s="29"/>
      <c r="Z22" s="29"/>
      <c r="AA22" s="67"/>
      <c r="AB22" s="67"/>
      <c r="AC22" s="67"/>
      <c r="AD22" s="67"/>
      <c r="AE22" s="45"/>
      <c r="AH22" s="45"/>
      <c r="AJ22" s="51"/>
      <c r="AK22" s="51"/>
      <c r="AL22" s="51" t="s">
        <v>577</v>
      </c>
      <c r="AM22" s="51"/>
      <c r="AN22" s="45"/>
      <c r="AP22" s="33" t="s">
        <v>3461</v>
      </c>
      <c r="AQ22" s="75" t="s">
        <v>565</v>
      </c>
      <c r="AU22" s="29">
        <v>3.5504764098658097E-2</v>
      </c>
      <c r="AV22" s="227">
        <v>17.1902128603443</v>
      </c>
      <c r="AW22" s="52">
        <v>0.31796240318088842</v>
      </c>
      <c r="AX22" s="52">
        <v>1.7792066280627274</v>
      </c>
      <c r="AY22" s="52">
        <v>0.69749271341784602</v>
      </c>
      <c r="AZ22" s="52">
        <v>0.88437187228733938</v>
      </c>
      <c r="BA22" s="52">
        <v>0.94096311409048217</v>
      </c>
      <c r="BB22" s="52">
        <v>0.98816624814788301</v>
      </c>
      <c r="BC22" s="52">
        <v>0.97898304163417871</v>
      </c>
      <c r="BD22" s="52">
        <v>0.9895147697710599</v>
      </c>
      <c r="BE22" s="2">
        <v>4.3519048558867697E-4</v>
      </c>
      <c r="BF22" s="45">
        <v>0.85</v>
      </c>
      <c r="BG22" s="2" t="s">
        <v>489</v>
      </c>
      <c r="BH22" s="2">
        <v>3.55</v>
      </c>
      <c r="BI22" s="2">
        <v>1</v>
      </c>
      <c r="BJ22" s="2">
        <v>16</v>
      </c>
      <c r="BK22" s="2">
        <v>0.91</v>
      </c>
      <c r="BL22" s="2">
        <v>0.13</v>
      </c>
      <c r="BM22" s="1" t="s">
        <v>555</v>
      </c>
      <c r="BN22" s="29" t="s">
        <v>513</v>
      </c>
      <c r="BO22" s="29" t="s">
        <v>514</v>
      </c>
      <c r="BP22" s="29">
        <v>64</v>
      </c>
      <c r="BQ22" s="29">
        <v>0</v>
      </c>
      <c r="BR22" s="225" t="s">
        <v>493</v>
      </c>
      <c r="BS22" s="29" t="s">
        <v>568</v>
      </c>
      <c r="BT22" s="29" t="s">
        <v>495</v>
      </c>
      <c r="BU22" s="45" t="s">
        <v>542</v>
      </c>
      <c r="BV22" s="45" t="s">
        <v>496</v>
      </c>
      <c r="BW22" s="29" t="s">
        <v>497</v>
      </c>
      <c r="BX22" s="29" t="s">
        <v>517</v>
      </c>
      <c r="BY22" s="29">
        <v>0</v>
      </c>
      <c r="BZ22" s="29" t="s">
        <v>499</v>
      </c>
      <c r="CA22" s="29">
        <v>33</v>
      </c>
      <c r="CB22" s="225">
        <v>0.4</v>
      </c>
      <c r="CC22" s="2" t="s">
        <v>500</v>
      </c>
      <c r="CD22" s="29" t="s">
        <v>519</v>
      </c>
      <c r="CE22" s="29" t="s">
        <v>502</v>
      </c>
      <c r="CF22" s="29" t="s">
        <v>501</v>
      </c>
      <c r="CG22" s="29" t="s">
        <v>503</v>
      </c>
      <c r="CH22" s="55" t="s">
        <v>360</v>
      </c>
      <c r="CI22" s="29" t="s">
        <v>501</v>
      </c>
      <c r="CJ22" s="4" t="s">
        <v>578</v>
      </c>
      <c r="CK22" s="29">
        <v>2</v>
      </c>
      <c r="CL22" s="29">
        <v>0.9</v>
      </c>
      <c r="CM22" s="29" t="s">
        <v>506</v>
      </c>
      <c r="CN22" s="29" t="s">
        <v>509</v>
      </c>
      <c r="CO22" s="29" t="s">
        <v>509</v>
      </c>
      <c r="CP22" s="29" t="s">
        <v>509</v>
      </c>
      <c r="CQ22" s="29" t="s">
        <v>548</v>
      </c>
      <c r="CR22" s="29" t="s">
        <v>524</v>
      </c>
      <c r="CS22" s="29" t="s">
        <v>509</v>
      </c>
      <c r="CT22" s="29" t="s">
        <v>509</v>
      </c>
      <c r="CU22" s="47">
        <v>1</v>
      </c>
      <c r="CV22" s="56">
        <v>1</v>
      </c>
      <c r="CW22" s="47">
        <v>1</v>
      </c>
      <c r="CX22" s="2">
        <v>0</v>
      </c>
      <c r="CY22" s="2">
        <v>0</v>
      </c>
      <c r="CZ22" s="2">
        <v>0</v>
      </c>
      <c r="DA22" s="47">
        <v>1</v>
      </c>
      <c r="DB22" s="2">
        <v>0</v>
      </c>
      <c r="DC22" s="56">
        <v>1</v>
      </c>
      <c r="DD22" s="47">
        <v>1</v>
      </c>
      <c r="DE22" s="47">
        <v>1</v>
      </c>
      <c r="DF22" s="2">
        <v>0</v>
      </c>
      <c r="DG22" s="47">
        <v>1</v>
      </c>
      <c r="DH22" s="47">
        <v>1</v>
      </c>
      <c r="DI22" s="225">
        <v>0</v>
      </c>
      <c r="DJ22" s="47">
        <v>1</v>
      </c>
      <c r="DK22" s="2">
        <v>0</v>
      </c>
      <c r="DL22" s="2">
        <v>0</v>
      </c>
      <c r="DM22" s="225">
        <v>0</v>
      </c>
      <c r="DN22" s="2">
        <v>0</v>
      </c>
      <c r="DO22" s="225">
        <v>0</v>
      </c>
      <c r="DP22" s="225">
        <v>0</v>
      </c>
      <c r="DQ22" s="2">
        <v>0</v>
      </c>
      <c r="DR22" s="57">
        <v>7.2647021587898597E-2</v>
      </c>
      <c r="DS22" s="227">
        <v>0</v>
      </c>
      <c r="DT22" s="227">
        <v>0</v>
      </c>
      <c r="DU22" s="57">
        <v>4.5156527479993901E-2</v>
      </c>
      <c r="DV22" s="227">
        <v>0</v>
      </c>
      <c r="DW22" s="73">
        <v>0.34030336362266</v>
      </c>
      <c r="DX22" s="57">
        <v>9.7421762243729906E-2</v>
      </c>
      <c r="DY22" s="57">
        <v>8.5013377634089199E-2</v>
      </c>
      <c r="DZ22" s="60">
        <v>0.104715348878002</v>
      </c>
      <c r="EA22" s="227">
        <v>0</v>
      </c>
      <c r="EB22" s="57">
        <v>7.4503730067013496E-2</v>
      </c>
      <c r="EC22" s="57">
        <v>8.8227794843619395E-2</v>
      </c>
      <c r="ED22" s="61">
        <v>0</v>
      </c>
      <c r="EE22" s="227">
        <v>0</v>
      </c>
      <c r="EF22" s="57">
        <v>2.39540711952765E-2</v>
      </c>
      <c r="EG22" s="227">
        <v>0</v>
      </c>
      <c r="EH22" s="57">
        <v>2.09062868643245E-2</v>
      </c>
      <c r="EI22" s="227">
        <v>0</v>
      </c>
      <c r="EJ22" s="227">
        <v>0</v>
      </c>
      <c r="EK22" s="57">
        <v>2.5231740558981999E-2</v>
      </c>
      <c r="EL22" s="57">
        <v>2.1918975024410502E-2</v>
      </c>
    </row>
    <row r="23" spans="1:142" x14ac:dyDescent="0.25">
      <c r="A23" s="45" t="s">
        <v>41</v>
      </c>
      <c r="B23" s="29" t="s">
        <v>486</v>
      </c>
      <c r="C23" s="29">
        <v>1</v>
      </c>
      <c r="D23" s="29">
        <v>1</v>
      </c>
      <c r="E23" s="29">
        <v>1</v>
      </c>
      <c r="F23" s="29">
        <v>1</v>
      </c>
      <c r="G23" s="29">
        <v>1</v>
      </c>
      <c r="H23" s="29">
        <v>1</v>
      </c>
      <c r="I23" s="45">
        <v>2</v>
      </c>
      <c r="J23" s="2" t="s">
        <v>27</v>
      </c>
      <c r="K23" s="46" t="s">
        <v>576</v>
      </c>
      <c r="L23" s="74">
        <v>3</v>
      </c>
      <c r="M23" s="62">
        <v>2</v>
      </c>
      <c r="N23" s="95">
        <v>2</v>
      </c>
      <c r="O23" s="197">
        <v>1</v>
      </c>
      <c r="P23" s="197">
        <v>4</v>
      </c>
      <c r="Q23" s="49">
        <v>0</v>
      </c>
      <c r="R23" s="49">
        <v>0</v>
      </c>
      <c r="S23" s="197">
        <v>2</v>
      </c>
      <c r="T23" s="50" t="s">
        <v>488</v>
      </c>
      <c r="U23" s="2">
        <v>125</v>
      </c>
      <c r="V23" s="2">
        <v>101</v>
      </c>
      <c r="W23" s="5">
        <v>82</v>
      </c>
      <c r="X23" s="29"/>
      <c r="Y23" s="29"/>
      <c r="Z23" s="29"/>
      <c r="AA23" s="67"/>
      <c r="AB23" s="67"/>
      <c r="AC23" s="67"/>
      <c r="AD23" s="67"/>
      <c r="AE23" s="67"/>
      <c r="AH23" s="45"/>
      <c r="AJ23" s="51"/>
      <c r="AK23" s="51"/>
      <c r="AL23" s="51"/>
      <c r="AM23" s="51"/>
      <c r="AN23" s="45"/>
      <c r="AP23" s="33" t="s">
        <v>3461</v>
      </c>
      <c r="AU23" s="29">
        <v>0.126216293849367</v>
      </c>
      <c r="AV23" s="227">
        <v>19.2423303733278</v>
      </c>
      <c r="AW23" s="52">
        <v>1.5545768647829341</v>
      </c>
      <c r="AX23" s="52">
        <v>1.236629595463792</v>
      </c>
      <c r="AY23" s="52">
        <v>0.63041546323039321</v>
      </c>
      <c r="AZ23" s="52">
        <v>1.3024785704726822</v>
      </c>
      <c r="BA23" s="52">
        <v>0.52452539704475376</v>
      </c>
      <c r="BB23" s="52">
        <v>1.1989439925402805</v>
      </c>
      <c r="BC23" s="52">
        <v>1.1040238336771742</v>
      </c>
      <c r="BD23" s="52">
        <v>1.1482635039218991</v>
      </c>
      <c r="BE23" s="2">
        <v>1.24414898166903E-3</v>
      </c>
      <c r="BF23" s="65">
        <v>0.78</v>
      </c>
      <c r="BG23" s="2" t="s">
        <v>489</v>
      </c>
      <c r="BH23" s="2">
        <v>1.85</v>
      </c>
      <c r="BI23" s="2">
        <v>0</v>
      </c>
      <c r="BJ23" s="2">
        <v>10</v>
      </c>
      <c r="BK23" s="2">
        <v>0.77</v>
      </c>
      <c r="BL23" s="2">
        <v>0.02</v>
      </c>
      <c r="BM23" s="1" t="s">
        <v>555</v>
      </c>
      <c r="BN23" s="29" t="s">
        <v>513</v>
      </c>
      <c r="BO23" s="29" t="s">
        <v>514</v>
      </c>
      <c r="BP23" s="29">
        <v>78</v>
      </c>
      <c r="BQ23" s="29">
        <v>1</v>
      </c>
      <c r="BR23" s="2" t="s">
        <v>493</v>
      </c>
      <c r="BS23" s="29" t="s">
        <v>568</v>
      </c>
      <c r="BT23" s="29" t="s">
        <v>495</v>
      </c>
      <c r="BU23" s="45" t="s">
        <v>4</v>
      </c>
      <c r="BV23" s="45" t="s">
        <v>496</v>
      </c>
      <c r="BW23" s="29" t="s">
        <v>497</v>
      </c>
      <c r="BX23" s="29" t="s">
        <v>498</v>
      </c>
      <c r="BY23" s="29">
        <v>1</v>
      </c>
      <c r="BZ23" s="29" t="s">
        <v>499</v>
      </c>
      <c r="CA23" s="29">
        <v>91</v>
      </c>
      <c r="CB23" s="2">
        <v>0.7</v>
      </c>
      <c r="CC23" s="2" t="s">
        <v>500</v>
      </c>
      <c r="CD23" s="29" t="s">
        <v>519</v>
      </c>
      <c r="CE23" s="29" t="s">
        <v>502</v>
      </c>
      <c r="CF23" s="29" t="s">
        <v>519</v>
      </c>
      <c r="CG23" s="29" t="s">
        <v>503</v>
      </c>
      <c r="CH23" s="55" t="s">
        <v>360</v>
      </c>
      <c r="CI23" s="29" t="s">
        <v>501</v>
      </c>
      <c r="CJ23" s="4" t="s">
        <v>579</v>
      </c>
      <c r="CK23" s="29">
        <v>2</v>
      </c>
      <c r="CL23" s="29">
        <v>0.85</v>
      </c>
      <c r="CM23" s="29" t="s">
        <v>552</v>
      </c>
      <c r="CN23" s="29" t="s">
        <v>509</v>
      </c>
      <c r="CO23" s="29" t="s">
        <v>509</v>
      </c>
      <c r="CP23" s="29" t="s">
        <v>509</v>
      </c>
      <c r="CQ23" s="29" t="s">
        <v>572</v>
      </c>
      <c r="CR23" s="29" t="s">
        <v>524</v>
      </c>
      <c r="CS23" s="29" t="s">
        <v>509</v>
      </c>
      <c r="CT23" s="55" t="s">
        <v>511</v>
      </c>
      <c r="CU23" s="47">
        <v>1</v>
      </c>
      <c r="CV23" s="225">
        <v>0</v>
      </c>
      <c r="CW23" s="47">
        <v>1</v>
      </c>
      <c r="CX23" s="225">
        <v>0</v>
      </c>
      <c r="CY23" s="2">
        <v>0</v>
      </c>
      <c r="CZ23" s="2">
        <v>0</v>
      </c>
      <c r="DA23" s="47">
        <v>1</v>
      </c>
      <c r="DB23" s="2">
        <v>0</v>
      </c>
      <c r="DC23" s="56">
        <v>1</v>
      </c>
      <c r="DD23" s="47">
        <v>1</v>
      </c>
      <c r="DE23" s="47">
        <v>1</v>
      </c>
      <c r="DF23" s="2">
        <v>0</v>
      </c>
      <c r="DG23" s="225">
        <v>0</v>
      </c>
      <c r="DH23" s="47">
        <v>1</v>
      </c>
      <c r="DI23" s="47">
        <v>1</v>
      </c>
      <c r="DJ23" s="47">
        <v>1</v>
      </c>
      <c r="DK23" s="225">
        <v>0</v>
      </c>
      <c r="DL23" s="2">
        <v>0</v>
      </c>
      <c r="DM23" s="2">
        <v>0</v>
      </c>
      <c r="DN23" s="2">
        <v>0</v>
      </c>
      <c r="DO23" s="47">
        <v>1</v>
      </c>
      <c r="DP23" s="2">
        <v>0</v>
      </c>
      <c r="DQ23" s="2">
        <v>0</v>
      </c>
      <c r="DR23" s="227">
        <v>0</v>
      </c>
      <c r="DS23" s="227">
        <v>0</v>
      </c>
      <c r="DT23" s="227">
        <v>0</v>
      </c>
      <c r="DU23" s="227">
        <v>0</v>
      </c>
      <c r="DV23" s="60">
        <v>0.10126574945207301</v>
      </c>
      <c r="DW23" s="86">
        <v>0.137132459593099</v>
      </c>
      <c r="DX23" s="57">
        <v>4.4035767691723397E-2</v>
      </c>
      <c r="DY23" s="57">
        <v>6.7263038208642406E-2</v>
      </c>
      <c r="DZ23" s="227">
        <v>0</v>
      </c>
      <c r="EA23" s="57">
        <v>2.0882474489651099E-2</v>
      </c>
      <c r="EB23" s="61">
        <v>0</v>
      </c>
      <c r="EC23" s="57">
        <v>7.2278261662803503E-2</v>
      </c>
      <c r="ED23" s="61">
        <v>0</v>
      </c>
      <c r="EE23" s="58">
        <v>0.15833270578122</v>
      </c>
      <c r="EF23" s="227">
        <v>0</v>
      </c>
      <c r="EG23" s="60">
        <v>0.111657658802263</v>
      </c>
      <c r="EH23" s="60">
        <v>0.12155603069788</v>
      </c>
      <c r="EI23" s="57">
        <v>9.3018478414190003E-2</v>
      </c>
      <c r="EJ23" s="57">
        <v>4.1530756179057E-2</v>
      </c>
      <c r="EK23" s="57">
        <v>3.1046619027398002E-2</v>
      </c>
      <c r="EL23" s="61">
        <v>0</v>
      </c>
    </row>
    <row r="24" spans="1:142" x14ac:dyDescent="0.25">
      <c r="A24" s="45" t="s">
        <v>53</v>
      </c>
      <c r="B24" s="29" t="s">
        <v>486</v>
      </c>
      <c r="C24" s="29">
        <v>1</v>
      </c>
      <c r="D24" s="29">
        <v>1</v>
      </c>
      <c r="E24" s="29">
        <v>1</v>
      </c>
      <c r="F24" s="29">
        <v>1</v>
      </c>
      <c r="G24" s="29">
        <v>1</v>
      </c>
      <c r="H24" s="29">
        <v>1</v>
      </c>
      <c r="I24" s="45">
        <v>2</v>
      </c>
      <c r="J24" s="225" t="s">
        <v>27</v>
      </c>
      <c r="K24" s="46" t="s">
        <v>576</v>
      </c>
      <c r="L24" s="74">
        <v>3</v>
      </c>
      <c r="M24" s="56">
        <v>4</v>
      </c>
      <c r="N24" s="95">
        <v>2</v>
      </c>
      <c r="O24" s="197">
        <v>1</v>
      </c>
      <c r="P24" s="197">
        <v>1</v>
      </c>
      <c r="Q24" s="49">
        <v>0</v>
      </c>
      <c r="R24" s="49">
        <v>0</v>
      </c>
      <c r="S24" s="227">
        <v>2</v>
      </c>
      <c r="T24" s="50" t="s">
        <v>488</v>
      </c>
      <c r="U24" s="2">
        <v>93</v>
      </c>
      <c r="V24" s="2">
        <v>77</v>
      </c>
      <c r="W24" s="5">
        <v>58</v>
      </c>
      <c r="X24" s="29"/>
      <c r="Y24" s="29"/>
      <c r="Z24" s="29"/>
      <c r="AA24" s="67"/>
      <c r="AB24" s="67"/>
      <c r="AC24" s="81" t="s">
        <v>33</v>
      </c>
      <c r="AD24" s="67"/>
      <c r="AE24" s="67"/>
      <c r="AG24" s="51"/>
      <c r="AH24" s="51"/>
      <c r="AI24" s="51"/>
      <c r="AJ24" s="64"/>
      <c r="AK24" s="45"/>
      <c r="AL24" s="45"/>
      <c r="AM24" s="51"/>
      <c r="AN24" s="51" t="s">
        <v>589</v>
      </c>
      <c r="AO24" s="51"/>
      <c r="AQ24" s="75" t="s">
        <v>565</v>
      </c>
      <c r="AU24" s="29">
        <v>0.309247148242563</v>
      </c>
      <c r="AV24" s="227">
        <v>18.915735450463899</v>
      </c>
      <c r="AW24" s="52">
        <v>1.7011838941551694</v>
      </c>
      <c r="AX24" s="52">
        <v>1.5312595760585865</v>
      </c>
      <c r="AY24" s="52">
        <v>0.47727159536396047</v>
      </c>
      <c r="AZ24" s="52">
        <v>1.0832307840977466</v>
      </c>
      <c r="BA24" s="52">
        <v>0.33072251450611539</v>
      </c>
      <c r="BB24" s="52">
        <v>1.6793542291042947</v>
      </c>
      <c r="BC24" s="52">
        <v>0.80424254560013586</v>
      </c>
      <c r="BD24" s="52">
        <v>1.288957393767594</v>
      </c>
      <c r="BE24" s="225">
        <v>1.17768575238958E-3</v>
      </c>
      <c r="BF24" s="78">
        <v>0.52</v>
      </c>
      <c r="BG24" s="2" t="s">
        <v>489</v>
      </c>
      <c r="BH24" s="225">
        <v>1.82</v>
      </c>
      <c r="BI24" s="2">
        <v>0</v>
      </c>
      <c r="BJ24" s="2">
        <v>15</v>
      </c>
      <c r="BK24" s="2">
        <v>0.5</v>
      </c>
      <c r="BL24" s="2">
        <v>0.22</v>
      </c>
      <c r="BM24" s="1" t="s">
        <v>555</v>
      </c>
      <c r="BN24" s="29" t="s">
        <v>513</v>
      </c>
      <c r="BO24" s="29" t="s">
        <v>492</v>
      </c>
      <c r="BP24" s="29">
        <v>82</v>
      </c>
      <c r="BQ24" s="29">
        <v>0</v>
      </c>
      <c r="BR24" s="225" t="s">
        <v>493</v>
      </c>
      <c r="BS24" s="29" t="s">
        <v>568</v>
      </c>
      <c r="BT24" s="29" t="s">
        <v>495</v>
      </c>
      <c r="BU24" s="45" t="s">
        <v>4</v>
      </c>
      <c r="BV24" s="45" t="s">
        <v>496</v>
      </c>
      <c r="BW24" s="29" t="s">
        <v>497</v>
      </c>
      <c r="BX24" s="29" t="s">
        <v>498</v>
      </c>
      <c r="BY24" s="29">
        <v>1</v>
      </c>
      <c r="BZ24" s="29">
        <v>3.7</v>
      </c>
      <c r="CA24" s="29">
        <v>265</v>
      </c>
      <c r="CB24" s="225">
        <v>0.9</v>
      </c>
      <c r="CC24" s="225" t="s">
        <v>500</v>
      </c>
      <c r="CD24" s="29" t="s">
        <v>519</v>
      </c>
      <c r="CE24" s="29" t="s">
        <v>502</v>
      </c>
      <c r="CF24" s="29" t="s">
        <v>519</v>
      </c>
      <c r="CG24" s="29" t="s">
        <v>533</v>
      </c>
      <c r="CH24" s="55" t="s">
        <v>360</v>
      </c>
      <c r="CI24" s="29" t="s">
        <v>519</v>
      </c>
      <c r="CJ24" s="4">
        <v>1153</v>
      </c>
      <c r="CK24" s="29">
        <v>1</v>
      </c>
      <c r="CL24" s="29">
        <v>1</v>
      </c>
      <c r="CM24" s="29" t="s">
        <v>522</v>
      </c>
      <c r="CN24" s="29" t="s">
        <v>538</v>
      </c>
      <c r="CO24" s="29" t="s">
        <v>509</v>
      </c>
      <c r="CP24" s="29" t="s">
        <v>508</v>
      </c>
      <c r="CQ24" s="29" t="s">
        <v>572</v>
      </c>
      <c r="CR24" s="29">
        <v>0</v>
      </c>
      <c r="CS24" s="29" t="s">
        <v>509</v>
      </c>
      <c r="CT24" s="29" t="s">
        <v>509</v>
      </c>
      <c r="CU24" s="47">
        <v>1</v>
      </c>
      <c r="CV24" s="56">
        <v>1</v>
      </c>
      <c r="CW24" s="47">
        <v>1</v>
      </c>
      <c r="CX24" s="225">
        <v>0</v>
      </c>
      <c r="CY24" s="225">
        <v>0</v>
      </c>
      <c r="CZ24" s="225">
        <v>0</v>
      </c>
      <c r="DA24" s="47">
        <v>1</v>
      </c>
      <c r="DB24" s="47">
        <v>1</v>
      </c>
      <c r="DC24" s="56">
        <v>1</v>
      </c>
      <c r="DD24" s="47">
        <v>1</v>
      </c>
      <c r="DE24" s="47">
        <v>1</v>
      </c>
      <c r="DF24" s="2">
        <v>0</v>
      </c>
      <c r="DG24" s="225">
        <v>0</v>
      </c>
      <c r="DH24" s="47">
        <v>1</v>
      </c>
      <c r="DI24" s="47">
        <v>1</v>
      </c>
      <c r="DJ24" s="47">
        <v>1</v>
      </c>
      <c r="DK24" s="2">
        <v>0</v>
      </c>
      <c r="DL24" s="225">
        <v>0</v>
      </c>
      <c r="DM24" s="225">
        <v>0</v>
      </c>
      <c r="DN24" s="56">
        <v>1</v>
      </c>
      <c r="DO24" s="47">
        <v>1</v>
      </c>
      <c r="DP24" s="2">
        <v>0</v>
      </c>
      <c r="DQ24" s="56">
        <v>1</v>
      </c>
      <c r="DR24" s="57">
        <v>4.92958490877832E-2</v>
      </c>
      <c r="DS24">
        <v>0</v>
      </c>
      <c r="DT24" s="57">
        <v>8.1695726267404498E-2</v>
      </c>
      <c r="DU24" s="57">
        <v>2.6512255508278602E-2</v>
      </c>
      <c r="DV24" s="57">
        <v>2.1949609519967299E-3</v>
      </c>
      <c r="DW24" s="66">
        <v>9.0043336698907198E-2</v>
      </c>
      <c r="DX24" s="57">
        <v>7.7101073642620699E-2</v>
      </c>
      <c r="DY24" s="60">
        <v>0.106556303033224</v>
      </c>
      <c r="DZ24" s="227">
        <v>0</v>
      </c>
      <c r="EA24" s="57">
        <v>1.6989400646235699E-2</v>
      </c>
      <c r="EB24" s="57">
        <v>2.65713667997125E-2</v>
      </c>
      <c r="EC24" s="57">
        <v>9.6856806589652705E-2</v>
      </c>
      <c r="ED24" s="57">
        <v>5.8336325923363998E-2</v>
      </c>
      <c r="EE24" s="60">
        <v>0.133613461345752</v>
      </c>
      <c r="EF24" s="57">
        <v>3.9545326582126901E-2</v>
      </c>
      <c r="EG24" s="61">
        <v>0</v>
      </c>
      <c r="EH24" s="57">
        <v>6.6734963035933903E-2</v>
      </c>
      <c r="EI24" s="57">
        <v>4.7330396176799502E-2</v>
      </c>
      <c r="EJ24" s="57">
        <v>1.3753407691428699E-2</v>
      </c>
      <c r="EK24" s="57">
        <v>3.9082199008998501E-2</v>
      </c>
      <c r="EL24" s="57">
        <v>2.77868410097806E-2</v>
      </c>
    </row>
    <row r="25" spans="1:142" x14ac:dyDescent="0.25">
      <c r="A25" s="45" t="s">
        <v>36</v>
      </c>
      <c r="B25" s="29" t="s">
        <v>486</v>
      </c>
      <c r="C25" s="29">
        <v>1</v>
      </c>
      <c r="D25" s="29">
        <v>1</v>
      </c>
      <c r="E25" s="29">
        <v>1</v>
      </c>
      <c r="F25" s="29">
        <v>1</v>
      </c>
      <c r="G25" s="29">
        <v>1</v>
      </c>
      <c r="H25" s="29">
        <v>1</v>
      </c>
      <c r="I25" s="45">
        <v>1</v>
      </c>
      <c r="J25" s="225" t="s">
        <v>27</v>
      </c>
      <c r="K25" s="46" t="s">
        <v>576</v>
      </c>
      <c r="L25" s="74">
        <v>3</v>
      </c>
      <c r="M25" s="62">
        <v>2</v>
      </c>
      <c r="N25" s="95">
        <v>2</v>
      </c>
      <c r="O25" s="197">
        <v>2</v>
      </c>
      <c r="P25" s="197">
        <v>1</v>
      </c>
      <c r="Q25" s="49">
        <v>0</v>
      </c>
      <c r="R25" s="49">
        <v>0</v>
      </c>
      <c r="S25" s="227">
        <v>1</v>
      </c>
      <c r="T25" s="50">
        <v>1</v>
      </c>
      <c r="U25" s="2">
        <v>49</v>
      </c>
      <c r="V25" s="2">
        <v>43</v>
      </c>
      <c r="W25" s="5">
        <v>32</v>
      </c>
      <c r="X25" s="29"/>
      <c r="Y25" s="29"/>
      <c r="Z25" s="29"/>
      <c r="AA25" s="80" t="s">
        <v>33</v>
      </c>
      <c r="AB25" s="67"/>
      <c r="AC25" s="67"/>
      <c r="AD25" s="67"/>
      <c r="AE25" s="91"/>
      <c r="AF25" s="97"/>
      <c r="AG25" s="45"/>
      <c r="AH25" s="51"/>
      <c r="AI25" s="51"/>
      <c r="AJ25" s="51"/>
      <c r="AK25" s="51"/>
      <c r="AL25" s="51"/>
      <c r="AM25" s="51"/>
      <c r="AN25" s="51"/>
      <c r="AO25" s="33" t="s">
        <v>512</v>
      </c>
      <c r="AU25" s="29">
        <v>0.32994233959136299</v>
      </c>
      <c r="AV25" s="227">
        <v>15.255883680197</v>
      </c>
      <c r="AW25" s="52">
        <v>1.3668658162208001</v>
      </c>
      <c r="AX25" s="52">
        <v>0.85156727177407288</v>
      </c>
      <c r="AY25" s="52">
        <v>1.0122197266740263</v>
      </c>
      <c r="AZ25" s="52">
        <v>1.4732459231464543</v>
      </c>
      <c r="BA25" s="52">
        <v>155.65835114160387</v>
      </c>
      <c r="BB25" s="52">
        <v>0.95542941939106918</v>
      </c>
      <c r="BC25" s="52">
        <v>0.67782594456167067</v>
      </c>
      <c r="BD25" s="52">
        <v>1.6037303616159986</v>
      </c>
      <c r="BE25" s="225">
        <v>1.0174506992909199E-3</v>
      </c>
      <c r="BF25" s="53">
        <v>0.39</v>
      </c>
      <c r="BG25" s="2" t="s">
        <v>489</v>
      </c>
      <c r="BH25" s="225">
        <v>1.89</v>
      </c>
      <c r="BI25" s="2">
        <v>0</v>
      </c>
      <c r="BJ25" s="2">
        <v>21</v>
      </c>
      <c r="BK25" s="2">
        <v>0.38</v>
      </c>
      <c r="BL25" s="2">
        <v>0.02</v>
      </c>
      <c r="BM25" s="1" t="s">
        <v>555</v>
      </c>
      <c r="BN25" s="29" t="s">
        <v>513</v>
      </c>
      <c r="BO25" s="29" t="s">
        <v>492</v>
      </c>
      <c r="BP25" s="29">
        <v>60</v>
      </c>
      <c r="BQ25" s="29">
        <v>1</v>
      </c>
      <c r="BR25" s="225" t="s">
        <v>493</v>
      </c>
      <c r="BS25" s="29" t="s">
        <v>568</v>
      </c>
      <c r="BT25" s="29" t="s">
        <v>495</v>
      </c>
      <c r="BU25" s="29" t="s">
        <v>4</v>
      </c>
      <c r="BV25" s="29" t="s">
        <v>496</v>
      </c>
      <c r="BW25" s="29" t="s">
        <v>497</v>
      </c>
      <c r="BX25" s="29" t="s">
        <v>498</v>
      </c>
      <c r="BY25" s="29">
        <v>0</v>
      </c>
      <c r="BZ25" s="29">
        <v>2</v>
      </c>
      <c r="CA25" s="29">
        <v>17</v>
      </c>
      <c r="CB25" s="225">
        <v>0.5</v>
      </c>
      <c r="CC25" s="225" t="s">
        <v>500</v>
      </c>
      <c r="CD25" s="29" t="s">
        <v>519</v>
      </c>
      <c r="CE25" s="29" t="s">
        <v>502</v>
      </c>
      <c r="CF25" s="29" t="s">
        <v>519</v>
      </c>
      <c r="CG25" s="29" t="s">
        <v>533</v>
      </c>
      <c r="CH25" s="29" t="s">
        <v>534</v>
      </c>
      <c r="CI25" s="29" t="s">
        <v>519</v>
      </c>
      <c r="CJ25" s="4">
        <v>1449</v>
      </c>
      <c r="CK25" s="29">
        <v>2</v>
      </c>
      <c r="CL25" s="29">
        <v>0.7</v>
      </c>
      <c r="CM25" s="29" t="s">
        <v>552</v>
      </c>
      <c r="CN25" s="29" t="s">
        <v>509</v>
      </c>
      <c r="CO25" s="29" t="s">
        <v>509</v>
      </c>
      <c r="CP25" s="29" t="s">
        <v>509</v>
      </c>
      <c r="CQ25" s="29" t="s">
        <v>548</v>
      </c>
      <c r="CR25" s="29" t="s">
        <v>524</v>
      </c>
      <c r="CS25" s="29" t="s">
        <v>509</v>
      </c>
      <c r="CT25" s="29" t="s">
        <v>509</v>
      </c>
      <c r="CU25" s="47">
        <v>1</v>
      </c>
      <c r="CV25" s="56">
        <v>1</v>
      </c>
      <c r="CW25" s="47">
        <v>1</v>
      </c>
      <c r="CX25" s="2">
        <v>0</v>
      </c>
      <c r="CY25" s="225">
        <v>0</v>
      </c>
      <c r="CZ25" s="225">
        <v>0</v>
      </c>
      <c r="DA25" s="47">
        <v>1</v>
      </c>
      <c r="DB25" s="47">
        <v>1</v>
      </c>
      <c r="DC25" s="225">
        <v>0</v>
      </c>
      <c r="DD25" s="225">
        <v>0</v>
      </c>
      <c r="DE25" s="47">
        <v>1</v>
      </c>
      <c r="DF25" s="225">
        <v>0</v>
      </c>
      <c r="DG25" s="225">
        <v>0</v>
      </c>
      <c r="DH25" s="225">
        <v>0</v>
      </c>
      <c r="DI25" s="47">
        <v>1</v>
      </c>
      <c r="DJ25" s="225">
        <v>0</v>
      </c>
      <c r="DK25" s="2">
        <v>0</v>
      </c>
      <c r="DL25" s="225">
        <v>0</v>
      </c>
      <c r="DM25" s="2">
        <v>0</v>
      </c>
      <c r="DN25" s="225">
        <v>0</v>
      </c>
      <c r="DO25" s="225">
        <v>0</v>
      </c>
      <c r="DP25" s="2">
        <v>0</v>
      </c>
      <c r="DQ25" s="2">
        <v>0</v>
      </c>
      <c r="DR25" s="73">
        <v>0.28330457054011199</v>
      </c>
      <c r="DS25">
        <v>0</v>
      </c>
      <c r="DT25" s="227">
        <v>0</v>
      </c>
      <c r="DU25" s="57">
        <v>5.5518408975639297E-2</v>
      </c>
      <c r="DV25" s="58">
        <v>0.15807945691595501</v>
      </c>
      <c r="DW25" s="59">
        <v>0.157138834487593</v>
      </c>
      <c r="DX25" s="57">
        <v>3.5816570665737901E-2</v>
      </c>
      <c r="DY25" s="57">
        <v>1.89227827370285E-2</v>
      </c>
      <c r="DZ25" s="227">
        <v>0</v>
      </c>
      <c r="EA25" s="57">
        <v>1.46122310129237E-2</v>
      </c>
      <c r="EB25" s="57">
        <v>7.2873527364738303E-2</v>
      </c>
      <c r="EC25" s="227">
        <v>0</v>
      </c>
      <c r="ED25" s="61">
        <v>0</v>
      </c>
      <c r="EE25" s="60">
        <v>0.106815391853525</v>
      </c>
      <c r="EF25" s="227">
        <v>0</v>
      </c>
      <c r="EG25" s="227">
        <v>0</v>
      </c>
      <c r="EH25" s="57">
        <v>1.2191423662040599E-2</v>
      </c>
      <c r="EI25" s="227">
        <v>0</v>
      </c>
      <c r="EJ25" s="57">
        <v>5.16416545019414E-2</v>
      </c>
      <c r="EK25" s="61">
        <v>0</v>
      </c>
      <c r="EL25" s="57">
        <v>3.3085147282764099E-2</v>
      </c>
    </row>
    <row r="26" spans="1:142" x14ac:dyDescent="0.25">
      <c r="A26" s="45" t="s">
        <v>59</v>
      </c>
      <c r="B26" s="29" t="s">
        <v>486</v>
      </c>
      <c r="C26" s="29">
        <v>1</v>
      </c>
      <c r="D26" s="29">
        <v>1</v>
      </c>
      <c r="E26" s="29">
        <v>1</v>
      </c>
      <c r="F26" s="29">
        <v>1</v>
      </c>
      <c r="G26" s="29">
        <v>1</v>
      </c>
      <c r="H26" s="29">
        <v>1</v>
      </c>
      <c r="I26" s="45">
        <v>1</v>
      </c>
      <c r="J26" s="2" t="s">
        <v>27</v>
      </c>
      <c r="K26" s="46" t="s">
        <v>576</v>
      </c>
      <c r="L26" s="74">
        <v>3</v>
      </c>
      <c r="M26" s="56">
        <v>4</v>
      </c>
      <c r="N26" s="95">
        <v>2</v>
      </c>
      <c r="O26" s="197">
        <v>1</v>
      </c>
      <c r="P26" s="197">
        <v>2</v>
      </c>
      <c r="Q26" s="49">
        <v>0</v>
      </c>
      <c r="R26" s="49">
        <v>0</v>
      </c>
      <c r="S26" s="197">
        <v>2</v>
      </c>
      <c r="T26" s="50" t="s">
        <v>488</v>
      </c>
      <c r="U26" s="2">
        <v>68</v>
      </c>
      <c r="V26" s="2">
        <v>55</v>
      </c>
      <c r="W26" s="5">
        <v>38</v>
      </c>
      <c r="X26" s="29"/>
      <c r="Y26" s="29"/>
      <c r="Z26" s="29"/>
      <c r="AA26" s="80" t="s">
        <v>25</v>
      </c>
      <c r="AB26" s="67"/>
      <c r="AC26" s="67"/>
      <c r="AD26" s="67"/>
      <c r="AE26" s="67"/>
      <c r="AF26" s="67"/>
      <c r="AG26" s="51"/>
      <c r="AH26" s="64"/>
      <c r="AI26" s="51"/>
      <c r="AJ26" s="51"/>
      <c r="AK26" s="51"/>
      <c r="AL26" s="51"/>
      <c r="AM26" s="51"/>
      <c r="AN26" s="51"/>
      <c r="AO26" s="51"/>
      <c r="AQ26" s="75" t="s">
        <v>565</v>
      </c>
      <c r="AU26" s="29">
        <v>0.25454418028356202</v>
      </c>
      <c r="AV26" s="227">
        <v>15.3469019373886</v>
      </c>
      <c r="AW26" s="52">
        <v>3.7388337008977182</v>
      </c>
      <c r="AX26" s="52">
        <v>0.82298769518284398</v>
      </c>
      <c r="AY26" s="52">
        <v>0.67210662221797157</v>
      </c>
      <c r="AZ26" s="52">
        <v>0.8467401517708173</v>
      </c>
      <c r="BA26" s="52">
        <v>457.85169385127858</v>
      </c>
      <c r="BB26" s="52">
        <v>0.98284127855352843</v>
      </c>
      <c r="BC26" s="52">
        <v>1.1978901684603704</v>
      </c>
      <c r="BD26" s="52">
        <v>0.79217726777256137</v>
      </c>
      <c r="BE26" s="2">
        <v>1.0731011375596101E-3</v>
      </c>
      <c r="BF26" s="78">
        <v>0.51</v>
      </c>
      <c r="BG26" s="2" t="s">
        <v>489</v>
      </c>
      <c r="BH26" s="2">
        <v>1.75</v>
      </c>
      <c r="BI26" s="2">
        <v>0</v>
      </c>
      <c r="BJ26" s="2">
        <v>15</v>
      </c>
      <c r="BK26" s="2">
        <v>0.48</v>
      </c>
      <c r="BL26" s="2">
        <v>0.06</v>
      </c>
      <c r="BM26" s="1" t="s">
        <v>555</v>
      </c>
      <c r="BN26" s="29" t="s">
        <v>513</v>
      </c>
      <c r="BO26" s="29" t="s">
        <v>514</v>
      </c>
      <c r="BP26" s="29">
        <v>71</v>
      </c>
      <c r="BQ26" s="29">
        <v>0</v>
      </c>
      <c r="BR26" s="2" t="s">
        <v>493</v>
      </c>
      <c r="BS26" s="29" t="s">
        <v>494</v>
      </c>
      <c r="BT26" s="29" t="s">
        <v>584</v>
      </c>
      <c r="BU26" s="45" t="s">
        <v>515</v>
      </c>
      <c r="BV26" s="45" t="s">
        <v>516</v>
      </c>
      <c r="BW26" s="29" t="s">
        <v>556</v>
      </c>
      <c r="BX26" s="29" t="s">
        <v>517</v>
      </c>
      <c r="BY26" s="29">
        <v>1</v>
      </c>
      <c r="BZ26" s="29">
        <v>2.6</v>
      </c>
      <c r="CA26" s="29">
        <v>34</v>
      </c>
      <c r="CB26" s="2">
        <v>0.6</v>
      </c>
      <c r="CC26" s="2" t="s">
        <v>543</v>
      </c>
      <c r="CD26" s="29" t="s">
        <v>535</v>
      </c>
      <c r="CE26" s="29" t="s">
        <v>502</v>
      </c>
      <c r="CF26" s="29" t="s">
        <v>519</v>
      </c>
      <c r="CG26" s="29" t="s">
        <v>503</v>
      </c>
      <c r="CH26" s="55" t="s">
        <v>595</v>
      </c>
      <c r="CI26" s="29" t="s">
        <v>519</v>
      </c>
      <c r="CJ26" s="4" t="s">
        <v>596</v>
      </c>
      <c r="CK26" s="29">
        <v>3</v>
      </c>
      <c r="CL26" s="29">
        <v>0.4</v>
      </c>
      <c r="CM26" s="29" t="s">
        <v>522</v>
      </c>
      <c r="CN26" s="29" t="s">
        <v>509</v>
      </c>
      <c r="CO26" s="29" t="s">
        <v>509</v>
      </c>
      <c r="CP26" s="29" t="s">
        <v>509</v>
      </c>
      <c r="CQ26" s="29" t="s">
        <v>572</v>
      </c>
      <c r="CR26" s="29">
        <v>0</v>
      </c>
      <c r="CS26" s="29" t="s">
        <v>509</v>
      </c>
      <c r="CT26" s="29" t="s">
        <v>509</v>
      </c>
      <c r="CU26" s="47">
        <v>1</v>
      </c>
      <c r="CV26" s="56">
        <v>1</v>
      </c>
      <c r="CW26" s="47">
        <v>1</v>
      </c>
      <c r="CX26" s="47">
        <v>1</v>
      </c>
      <c r="CY26" s="2">
        <v>0</v>
      </c>
      <c r="CZ26" s="2">
        <v>0</v>
      </c>
      <c r="DA26" s="47">
        <v>1</v>
      </c>
      <c r="DB26" s="47">
        <v>1</v>
      </c>
      <c r="DC26" s="225">
        <v>0</v>
      </c>
      <c r="DD26" s="47">
        <v>1</v>
      </c>
      <c r="DE26" s="47">
        <v>1</v>
      </c>
      <c r="DF26" s="2">
        <v>0</v>
      </c>
      <c r="DG26" s="47">
        <v>1</v>
      </c>
      <c r="DH26" s="47">
        <v>1</v>
      </c>
      <c r="DI26" s="47">
        <v>1</v>
      </c>
      <c r="DJ26" s="225">
        <v>0</v>
      </c>
      <c r="DK26" s="225">
        <v>0</v>
      </c>
      <c r="DL26" s="2">
        <v>0</v>
      </c>
      <c r="DM26" s="2">
        <v>0</v>
      </c>
      <c r="DN26" s="225">
        <v>0</v>
      </c>
      <c r="DO26" s="225">
        <v>0</v>
      </c>
      <c r="DP26" s="225">
        <v>0</v>
      </c>
      <c r="DQ26" s="225">
        <v>0</v>
      </c>
      <c r="DR26" s="58">
        <v>0.15894703293439399</v>
      </c>
      <c r="DS26" s="61">
        <v>0</v>
      </c>
      <c r="DT26" s="57">
        <v>7.9500092434090494E-2</v>
      </c>
      <c r="DU26" s="57">
        <v>3.1193190439156901E-2</v>
      </c>
      <c r="DV26" s="58">
        <v>0.175683578216911</v>
      </c>
      <c r="DW26" s="66">
        <v>3.0094537512300502E-2</v>
      </c>
      <c r="DX26" s="227">
        <v>0</v>
      </c>
      <c r="DY26" s="57">
        <v>1.6714799534619299E-2</v>
      </c>
      <c r="DZ26" s="57">
        <v>3.8136772155084597E-2</v>
      </c>
      <c r="EA26" s="57">
        <v>1.9714719776015899E-2</v>
      </c>
      <c r="EB26" s="61">
        <v>0</v>
      </c>
      <c r="EC26" s="60">
        <v>0.117817210827245</v>
      </c>
      <c r="ED26" s="57">
        <v>5.3609350326132801E-2</v>
      </c>
      <c r="EE26" s="227">
        <v>0</v>
      </c>
      <c r="EF26" s="57">
        <v>8.7083916525910604E-2</v>
      </c>
      <c r="EG26" s="57">
        <v>1.46512278423825E-2</v>
      </c>
      <c r="EH26" s="57">
        <v>1.89427208862036E-2</v>
      </c>
      <c r="EI26" s="57">
        <v>6.6870201423715103E-4</v>
      </c>
      <c r="EJ26" s="57">
        <v>9.0499389599341201E-2</v>
      </c>
      <c r="EK26" s="57">
        <v>1.07902663258273E-3</v>
      </c>
      <c r="EL26" s="57">
        <v>6.5663732343391804E-2</v>
      </c>
    </row>
    <row r="27" spans="1:142" x14ac:dyDescent="0.25">
      <c r="A27" s="45" t="s">
        <v>29</v>
      </c>
      <c r="B27" s="29" t="s">
        <v>486</v>
      </c>
      <c r="C27" s="29">
        <v>1</v>
      </c>
      <c r="D27" s="29">
        <v>1</v>
      </c>
      <c r="E27" s="29">
        <v>1</v>
      </c>
      <c r="F27" s="29">
        <v>1</v>
      </c>
      <c r="G27" s="29">
        <v>1</v>
      </c>
      <c r="H27" s="29">
        <v>1</v>
      </c>
      <c r="I27" s="45">
        <v>2</v>
      </c>
      <c r="J27" s="2" t="s">
        <v>27</v>
      </c>
      <c r="K27" s="46" t="s">
        <v>576</v>
      </c>
      <c r="L27" s="74">
        <v>3</v>
      </c>
      <c r="M27" s="56">
        <v>4</v>
      </c>
      <c r="N27" s="95">
        <v>2</v>
      </c>
      <c r="O27" s="197">
        <v>2</v>
      </c>
      <c r="P27" s="197">
        <v>4</v>
      </c>
      <c r="Q27" s="49">
        <v>0</v>
      </c>
      <c r="R27" s="49">
        <v>0</v>
      </c>
      <c r="S27" s="197">
        <v>2</v>
      </c>
      <c r="T27" s="50" t="s">
        <v>488</v>
      </c>
      <c r="U27" s="2">
        <v>63</v>
      </c>
      <c r="V27" s="2">
        <v>54</v>
      </c>
      <c r="W27" s="5">
        <v>43</v>
      </c>
      <c r="X27" s="29"/>
      <c r="Y27" s="29"/>
      <c r="Z27" s="29"/>
      <c r="AA27" s="45"/>
      <c r="AB27" s="67"/>
      <c r="AC27" s="67"/>
      <c r="AD27" s="67"/>
      <c r="AE27" s="67"/>
      <c r="AF27" s="67"/>
      <c r="AG27" s="51"/>
      <c r="AH27" s="51"/>
      <c r="AI27" s="51"/>
      <c r="AJ27" s="51"/>
      <c r="AK27" s="51"/>
      <c r="AL27" s="51"/>
      <c r="AM27" s="51"/>
      <c r="AN27" s="51"/>
      <c r="AO27" s="101" t="s">
        <v>599</v>
      </c>
      <c r="AQ27" s="75" t="s">
        <v>565</v>
      </c>
      <c r="AU27" s="29">
        <v>0.173603163021541</v>
      </c>
      <c r="AV27" s="227">
        <v>13.775880926703501</v>
      </c>
      <c r="AW27" s="52">
        <v>0.48187407711395208</v>
      </c>
      <c r="AX27" s="52">
        <v>1.1614630457600046</v>
      </c>
      <c r="AY27" s="52">
        <v>0.70170469176494821</v>
      </c>
      <c r="AZ27" s="52">
        <v>1.139593329763386</v>
      </c>
      <c r="BA27" s="52">
        <v>5.9096836422462731E-2</v>
      </c>
      <c r="BB27" s="52">
        <v>1.273821665661415</v>
      </c>
      <c r="BC27" s="52">
        <v>0.82109532410526942</v>
      </c>
      <c r="BD27" s="52">
        <v>1.0488351209933198</v>
      </c>
      <c r="BE27" s="2">
        <v>7.4326358716086905E-4</v>
      </c>
      <c r="BF27" s="65">
        <v>0.74</v>
      </c>
      <c r="BG27" s="2" t="s">
        <v>489</v>
      </c>
      <c r="BH27" s="2">
        <v>1.82</v>
      </c>
      <c r="BI27" s="2">
        <v>0</v>
      </c>
      <c r="BJ27" s="2">
        <v>10</v>
      </c>
      <c r="BK27" s="2">
        <v>0.72</v>
      </c>
      <c r="BL27" s="2">
        <v>0.23</v>
      </c>
      <c r="BM27" s="1" t="s">
        <v>600</v>
      </c>
      <c r="BN27" s="29" t="s">
        <v>491</v>
      </c>
      <c r="BO27" s="29" t="s">
        <v>514</v>
      </c>
      <c r="BP27" s="29">
        <v>73</v>
      </c>
      <c r="BQ27" s="29">
        <v>3</v>
      </c>
      <c r="BR27" s="2" t="s">
        <v>493</v>
      </c>
      <c r="BS27" s="29" t="s">
        <v>568</v>
      </c>
      <c r="BT27" s="29" t="s">
        <v>495</v>
      </c>
      <c r="BU27" s="45" t="s">
        <v>542</v>
      </c>
      <c r="BV27" s="45" t="s">
        <v>496</v>
      </c>
      <c r="BW27" s="29" t="s">
        <v>497</v>
      </c>
      <c r="BX27" s="29" t="s">
        <v>517</v>
      </c>
      <c r="BY27" s="29">
        <v>1</v>
      </c>
      <c r="BZ27" s="29" t="s">
        <v>499</v>
      </c>
      <c r="CA27" s="29" t="s">
        <v>601</v>
      </c>
      <c r="CB27" s="2" t="s">
        <v>601</v>
      </c>
      <c r="CC27" s="2" t="s">
        <v>499</v>
      </c>
      <c r="CD27" s="29" t="s">
        <v>535</v>
      </c>
      <c r="CE27" s="29" t="s">
        <v>535</v>
      </c>
      <c r="CF27" s="29" t="s">
        <v>519</v>
      </c>
      <c r="CG27" s="29" t="s">
        <v>533</v>
      </c>
      <c r="CH27" s="29" t="s">
        <v>534</v>
      </c>
      <c r="CI27" s="29" t="s">
        <v>519</v>
      </c>
      <c r="CJ27" s="4" t="s">
        <v>536</v>
      </c>
      <c r="CK27" s="29">
        <v>3</v>
      </c>
      <c r="CL27" s="29">
        <v>0.15</v>
      </c>
      <c r="CM27" s="29" t="s">
        <v>552</v>
      </c>
      <c r="CN27" s="29" t="s">
        <v>509</v>
      </c>
      <c r="CO27" s="29" t="s">
        <v>509</v>
      </c>
      <c r="CP27" s="29" t="s">
        <v>509</v>
      </c>
      <c r="CQ27" s="29" t="s">
        <v>572</v>
      </c>
      <c r="CR27" s="29">
        <v>0</v>
      </c>
      <c r="CS27" s="29" t="s">
        <v>509</v>
      </c>
      <c r="CT27" s="29" t="s">
        <v>509</v>
      </c>
      <c r="CU27" s="47">
        <v>1</v>
      </c>
      <c r="CV27" s="225">
        <v>0</v>
      </c>
      <c r="CW27" s="47">
        <v>1</v>
      </c>
      <c r="CX27" s="225">
        <v>0</v>
      </c>
      <c r="CY27" s="225">
        <v>0</v>
      </c>
      <c r="CZ27" s="225">
        <v>0</v>
      </c>
      <c r="DA27" s="47">
        <v>1</v>
      </c>
      <c r="DB27" s="225">
        <v>0</v>
      </c>
      <c r="DC27" s="225">
        <v>0</v>
      </c>
      <c r="DD27" s="47">
        <v>1</v>
      </c>
      <c r="DE27" s="47">
        <v>1</v>
      </c>
      <c r="DF27" s="225">
        <v>0</v>
      </c>
      <c r="DG27" s="225">
        <v>0</v>
      </c>
      <c r="DH27" s="225">
        <v>0</v>
      </c>
      <c r="DI27" s="225">
        <v>0</v>
      </c>
      <c r="DJ27" s="2">
        <v>0</v>
      </c>
      <c r="DK27" s="2">
        <v>0</v>
      </c>
      <c r="DL27" s="2">
        <v>0</v>
      </c>
      <c r="DM27" s="225">
        <v>0</v>
      </c>
      <c r="DN27" s="225">
        <v>0</v>
      </c>
      <c r="DO27" s="2">
        <v>0</v>
      </c>
      <c r="DP27" s="2">
        <v>0</v>
      </c>
      <c r="DQ27" s="225">
        <v>0</v>
      </c>
      <c r="DR27" s="60">
        <v>0.14471655855955501</v>
      </c>
      <c r="DS27" s="57">
        <v>2.6410456424348399E-2</v>
      </c>
      <c r="DT27" s="61">
        <v>0</v>
      </c>
      <c r="DU27" s="57">
        <v>8.2273542168519898E-2</v>
      </c>
      <c r="DV27" s="57">
        <v>2.9186948788658601E-2</v>
      </c>
      <c r="DW27" s="59">
        <v>0.19555371448248099</v>
      </c>
      <c r="DX27" s="99">
        <v>2.7113099497097601E-4</v>
      </c>
      <c r="DY27" s="57">
        <v>4.0655092325144297E-2</v>
      </c>
      <c r="DZ27" s="227">
        <v>0</v>
      </c>
      <c r="EA27" s="57">
        <v>5.1851250501637497E-2</v>
      </c>
      <c r="EB27" s="61">
        <v>0</v>
      </c>
      <c r="EC27" s="57">
        <v>4.17806166405695E-2</v>
      </c>
      <c r="ED27" s="57">
        <v>9.0934724631745206E-2</v>
      </c>
      <c r="EE27" s="60">
        <v>0.12763662993232</v>
      </c>
      <c r="EF27" s="227">
        <v>0</v>
      </c>
      <c r="EG27" s="57">
        <v>9.4679083428940894E-2</v>
      </c>
      <c r="EH27" s="57">
        <v>4.6026690175846902E-2</v>
      </c>
      <c r="EI27" s="227">
        <v>0</v>
      </c>
      <c r="EJ27" s="227">
        <v>0</v>
      </c>
      <c r="EK27" s="57">
        <v>2.4547692588211399E-2</v>
      </c>
      <c r="EL27" s="57">
        <v>3.4758683570504201E-3</v>
      </c>
    </row>
    <row r="28" spans="1:142" x14ac:dyDescent="0.25">
      <c r="A28" s="45" t="s">
        <v>35</v>
      </c>
      <c r="B28" s="29" t="s">
        <v>486</v>
      </c>
      <c r="C28" s="29">
        <v>1</v>
      </c>
      <c r="D28" s="29">
        <v>1</v>
      </c>
      <c r="E28" s="29">
        <v>1</v>
      </c>
      <c r="F28" s="29">
        <v>1</v>
      </c>
      <c r="G28" s="29">
        <v>1</v>
      </c>
      <c r="H28" s="29" t="s">
        <v>257</v>
      </c>
      <c r="I28" s="45">
        <v>1</v>
      </c>
      <c r="J28" s="225" t="s">
        <v>27</v>
      </c>
      <c r="K28" s="46" t="s">
        <v>576</v>
      </c>
      <c r="L28" s="74">
        <v>3</v>
      </c>
      <c r="M28" s="62">
        <v>2</v>
      </c>
      <c r="N28" s="95">
        <v>2</v>
      </c>
      <c r="O28" s="197">
        <v>4</v>
      </c>
      <c r="P28" s="197">
        <v>1</v>
      </c>
      <c r="Q28" s="49">
        <v>0</v>
      </c>
      <c r="R28" s="49">
        <v>0</v>
      </c>
      <c r="S28" s="29"/>
      <c r="T28" s="50">
        <v>6</v>
      </c>
      <c r="U28" s="2">
        <v>98</v>
      </c>
      <c r="V28" s="2">
        <v>82</v>
      </c>
      <c r="W28" s="5">
        <v>67</v>
      </c>
      <c r="X28" s="29"/>
      <c r="Y28" s="51"/>
      <c r="Z28" s="51"/>
      <c r="AA28" s="67"/>
      <c r="AB28" s="76" t="s">
        <v>25</v>
      </c>
      <c r="AC28" s="81" t="s">
        <v>33</v>
      </c>
      <c r="AD28" s="67"/>
      <c r="AE28" s="67"/>
      <c r="AF28" s="67"/>
      <c r="AG28" s="102" t="s">
        <v>606</v>
      </c>
      <c r="AH28" s="51"/>
      <c r="AI28" s="51"/>
      <c r="AJ28" s="51"/>
      <c r="AK28" s="51"/>
      <c r="AL28" s="51"/>
      <c r="AM28" s="51"/>
      <c r="AN28" s="51"/>
      <c r="AO28" s="51"/>
      <c r="AU28" s="29">
        <v>0.122538775810903</v>
      </c>
      <c r="AV28" s="227">
        <v>12.5031550446295</v>
      </c>
      <c r="AW28" s="52">
        <v>0.45333403901517511</v>
      </c>
      <c r="AX28" s="52">
        <v>1.1932449271104539</v>
      </c>
      <c r="AY28" s="52">
        <v>0.73515575408029343</v>
      </c>
      <c r="AZ28" s="52">
        <v>1.052114757847614</v>
      </c>
      <c r="BA28" s="52">
        <v>45.124151005908445</v>
      </c>
      <c r="BB28" s="52">
        <v>0.77955490822395612</v>
      </c>
      <c r="BC28" s="52">
        <v>1.4894179386769428</v>
      </c>
      <c r="BD28" s="52">
        <v>0.92404513030276747</v>
      </c>
      <c r="BE28" s="2">
        <v>1.3424073018560999E-3</v>
      </c>
      <c r="BF28" s="65">
        <v>0.67</v>
      </c>
      <c r="BG28" s="2" t="s">
        <v>489</v>
      </c>
      <c r="BH28" s="2">
        <v>3.53</v>
      </c>
      <c r="BI28" s="2">
        <v>1</v>
      </c>
      <c r="BJ28" s="2">
        <v>19</v>
      </c>
      <c r="BK28" s="2">
        <v>0.78</v>
      </c>
      <c r="BL28" s="2">
        <v>0.18</v>
      </c>
      <c r="BM28" s="1" t="s">
        <v>555</v>
      </c>
      <c r="BN28" s="29" t="s">
        <v>513</v>
      </c>
      <c r="BO28" s="29" t="s">
        <v>492</v>
      </c>
      <c r="BP28" s="29">
        <v>58</v>
      </c>
      <c r="BQ28" s="29" t="s">
        <v>0</v>
      </c>
      <c r="BR28" s="225" t="s">
        <v>493</v>
      </c>
      <c r="BS28" s="29" t="s">
        <v>568</v>
      </c>
      <c r="BT28" s="29" t="s">
        <v>550</v>
      </c>
      <c r="BU28" s="45" t="s">
        <v>4</v>
      </c>
      <c r="BV28" s="45" t="s">
        <v>496</v>
      </c>
      <c r="BW28" s="29" t="s">
        <v>497</v>
      </c>
      <c r="BX28" s="29" t="s">
        <v>498</v>
      </c>
      <c r="BY28" s="29">
        <v>0</v>
      </c>
      <c r="BZ28" s="29">
        <v>6</v>
      </c>
      <c r="CA28" s="29">
        <v>27</v>
      </c>
      <c r="CB28" s="225">
        <v>0.3</v>
      </c>
      <c r="CC28" s="225" t="s">
        <v>499</v>
      </c>
      <c r="CD28" s="29" t="s">
        <v>519</v>
      </c>
      <c r="CE28" s="29" t="s">
        <v>502</v>
      </c>
      <c r="CF28" s="29" t="s">
        <v>501</v>
      </c>
      <c r="CG28" s="29" t="s">
        <v>503</v>
      </c>
      <c r="CH28" s="55" t="s">
        <v>520</v>
      </c>
      <c r="CI28" s="29" t="s">
        <v>501</v>
      </c>
      <c r="CJ28" s="4" t="s">
        <v>610</v>
      </c>
      <c r="CK28" s="29">
        <v>3</v>
      </c>
      <c r="CL28" s="29">
        <v>0.15</v>
      </c>
      <c r="CM28" s="29" t="s">
        <v>552</v>
      </c>
      <c r="CN28" s="29" t="s">
        <v>523</v>
      </c>
      <c r="CO28" s="29" t="s">
        <v>508</v>
      </c>
      <c r="CP28" s="29" t="s">
        <v>508</v>
      </c>
      <c r="CQ28" s="29" t="s">
        <v>548</v>
      </c>
      <c r="CR28" s="29" t="s">
        <v>524</v>
      </c>
      <c r="CS28" s="29" t="s">
        <v>509</v>
      </c>
      <c r="CT28" s="55" t="s">
        <v>511</v>
      </c>
      <c r="CU28" s="47">
        <v>1</v>
      </c>
      <c r="CV28" s="56">
        <v>1</v>
      </c>
      <c r="CW28" s="47">
        <v>1</v>
      </c>
      <c r="CX28" s="47">
        <v>1</v>
      </c>
      <c r="CY28" s="56">
        <v>1</v>
      </c>
      <c r="CZ28" s="56">
        <v>1</v>
      </c>
      <c r="DA28" s="47">
        <v>1</v>
      </c>
      <c r="DB28" s="225">
        <v>0</v>
      </c>
      <c r="DC28" s="2">
        <v>0</v>
      </c>
      <c r="DD28" s="47">
        <v>1</v>
      </c>
      <c r="DE28" s="47">
        <v>1</v>
      </c>
      <c r="DF28" s="2">
        <v>0</v>
      </c>
      <c r="DG28" s="225">
        <v>0</v>
      </c>
      <c r="DH28" s="225">
        <v>0</v>
      </c>
      <c r="DI28" s="225">
        <v>0</v>
      </c>
      <c r="DJ28" s="47">
        <v>1</v>
      </c>
      <c r="DK28" s="225">
        <v>0</v>
      </c>
      <c r="DL28" s="56">
        <v>1</v>
      </c>
      <c r="DM28" s="47">
        <v>1</v>
      </c>
      <c r="DN28" s="2">
        <v>0</v>
      </c>
      <c r="DO28" s="225">
        <v>0</v>
      </c>
      <c r="DP28" s="2">
        <v>0</v>
      </c>
      <c r="DQ28" s="225">
        <v>0</v>
      </c>
      <c r="DR28" s="57">
        <v>4.4454267274077898E-2</v>
      </c>
      <c r="DS28" s="60">
        <v>0.101202113492247</v>
      </c>
      <c r="DT28" s="227">
        <v>0</v>
      </c>
      <c r="DU28" s="57">
        <v>2.2459476934140101E-2</v>
      </c>
      <c r="DV28" s="57">
        <v>1.8301325144616101E-2</v>
      </c>
      <c r="DW28" s="73">
        <v>0.27751959381650598</v>
      </c>
      <c r="DX28" s="60">
        <v>0.11207928033504901</v>
      </c>
      <c r="DY28" s="61">
        <v>0</v>
      </c>
      <c r="DZ28" s="57">
        <v>1.7050226905009999E-2</v>
      </c>
      <c r="EA28" s="57">
        <v>2.6802481936618501E-2</v>
      </c>
      <c r="EB28" s="57">
        <v>3.9961413631907701E-2</v>
      </c>
      <c r="EC28" s="57">
        <v>2.23590542624275E-2</v>
      </c>
      <c r="ED28" s="57">
        <v>7.3565542819497801E-2</v>
      </c>
      <c r="EE28" s="57">
        <v>7.89933171017385E-2</v>
      </c>
      <c r="EF28" s="227">
        <v>0</v>
      </c>
      <c r="EG28" s="57">
        <v>2.86374716824171E-2</v>
      </c>
      <c r="EH28" s="61">
        <v>0</v>
      </c>
      <c r="EI28" s="57">
        <v>3.8743002197626303E-2</v>
      </c>
      <c r="EJ28" s="57">
        <v>9.3582550828067199E-2</v>
      </c>
      <c r="EK28" s="61">
        <v>0</v>
      </c>
      <c r="EL28" s="57">
        <v>4.28888163805275E-3</v>
      </c>
    </row>
    <row r="29" spans="1:142" x14ac:dyDescent="0.25">
      <c r="A29" s="45" t="s">
        <v>44</v>
      </c>
      <c r="B29" s="45" t="s">
        <v>486</v>
      </c>
      <c r="C29" s="45">
        <v>1</v>
      </c>
      <c r="D29" s="45">
        <v>1</v>
      </c>
      <c r="E29" s="45">
        <v>1</v>
      </c>
      <c r="F29" s="45">
        <v>1</v>
      </c>
      <c r="G29" s="45">
        <v>1</v>
      </c>
      <c r="H29" s="45" t="s">
        <v>257</v>
      </c>
      <c r="I29" s="45">
        <v>2</v>
      </c>
      <c r="J29" s="2" t="s">
        <v>27</v>
      </c>
      <c r="K29" s="56" t="s">
        <v>539</v>
      </c>
      <c r="L29" s="74">
        <v>3</v>
      </c>
      <c r="M29" s="74">
        <v>3</v>
      </c>
      <c r="N29" s="75">
        <v>3</v>
      </c>
      <c r="O29" s="197">
        <v>1</v>
      </c>
      <c r="P29" s="197">
        <v>3</v>
      </c>
      <c r="Q29" s="49">
        <v>1</v>
      </c>
      <c r="R29" s="49" t="s">
        <v>540</v>
      </c>
      <c r="S29" s="45"/>
      <c r="T29" s="50" t="s">
        <v>541</v>
      </c>
      <c r="U29" s="2">
        <v>66</v>
      </c>
      <c r="V29" s="2">
        <v>55</v>
      </c>
      <c r="W29" s="5">
        <v>42</v>
      </c>
      <c r="X29" s="196"/>
      <c r="Y29" s="45"/>
      <c r="Z29" s="45"/>
      <c r="AA29" s="67"/>
      <c r="AB29" s="76" t="s">
        <v>25</v>
      </c>
      <c r="AC29" s="67"/>
      <c r="AD29" s="67"/>
      <c r="AE29" s="45"/>
      <c r="AF29" s="45"/>
      <c r="AG29" s="45"/>
      <c r="AH29" s="51"/>
      <c r="AI29" s="51"/>
      <c r="AJ29" s="51"/>
      <c r="AK29" s="51"/>
      <c r="AL29" s="51"/>
      <c r="AM29" s="51"/>
      <c r="AN29" s="51"/>
      <c r="AO29" s="33" t="s">
        <v>46</v>
      </c>
      <c r="AQ29" s="45"/>
      <c r="AR29" s="45"/>
      <c r="AS29" s="77" t="s">
        <v>58</v>
      </c>
      <c r="AT29" s="45"/>
      <c r="AU29" s="29">
        <v>0.38490476064525603</v>
      </c>
      <c r="AV29" s="227">
        <v>7.2095638007388496</v>
      </c>
      <c r="AW29" s="52">
        <v>3.1767807661823642</v>
      </c>
      <c r="AX29" s="52">
        <v>1.2189768784071455</v>
      </c>
      <c r="AY29" s="52">
        <v>0.9088826776735689</v>
      </c>
      <c r="AZ29" s="52">
        <v>1.0330753035100231</v>
      </c>
      <c r="BA29" s="52">
        <v>2.0542116773808732</v>
      </c>
      <c r="BB29" s="52">
        <v>1.1994263247295478</v>
      </c>
      <c r="BC29" s="52">
        <v>0.88185682502647034</v>
      </c>
      <c r="BD29" s="52">
        <v>1.1539712074066018</v>
      </c>
      <c r="BE29" s="2">
        <v>1.11491781921683E-3</v>
      </c>
      <c r="BF29" s="78">
        <v>0.47</v>
      </c>
      <c r="BG29" s="2" t="s">
        <v>489</v>
      </c>
      <c r="BH29" s="2">
        <v>1.81</v>
      </c>
      <c r="BI29" s="2">
        <v>0</v>
      </c>
      <c r="BJ29" s="2">
        <v>17</v>
      </c>
      <c r="BK29" s="2">
        <v>0.44</v>
      </c>
      <c r="BL29" s="2">
        <v>0.52</v>
      </c>
      <c r="BM29" s="1" t="s">
        <v>490</v>
      </c>
      <c r="BN29" s="45" t="s">
        <v>491</v>
      </c>
      <c r="BO29" s="45" t="s">
        <v>492</v>
      </c>
      <c r="BP29" s="45">
        <v>60</v>
      </c>
      <c r="BQ29" s="45">
        <v>0</v>
      </c>
      <c r="BR29" s="54" t="s">
        <v>493</v>
      </c>
      <c r="BS29" s="45" t="s">
        <v>494</v>
      </c>
      <c r="BT29" s="45" t="s">
        <v>495</v>
      </c>
      <c r="BU29" s="45" t="s">
        <v>542</v>
      </c>
      <c r="BV29" s="45" t="s">
        <v>496</v>
      </c>
      <c r="BW29" s="45" t="s">
        <v>497</v>
      </c>
      <c r="BX29" s="45" t="s">
        <v>517</v>
      </c>
      <c r="BY29" s="45">
        <v>0</v>
      </c>
      <c r="BZ29" s="45">
        <v>3.6</v>
      </c>
      <c r="CA29" s="45" t="s">
        <v>3</v>
      </c>
      <c r="CB29" s="45">
        <v>1</v>
      </c>
      <c r="CC29" s="2" t="s">
        <v>543</v>
      </c>
      <c r="CD29" s="45" t="s">
        <v>519</v>
      </c>
      <c r="CE29" s="55" t="s">
        <v>544</v>
      </c>
      <c r="CF29" s="45" t="s">
        <v>519</v>
      </c>
      <c r="CG29" s="45" t="s">
        <v>533</v>
      </c>
      <c r="CH29" s="55" t="s">
        <v>545</v>
      </c>
      <c r="CI29" s="45" t="s">
        <v>519</v>
      </c>
      <c r="CJ29" s="4">
        <v>650</v>
      </c>
      <c r="CK29" s="45">
        <v>3</v>
      </c>
      <c r="CL29" s="45">
        <v>0.45</v>
      </c>
      <c r="CM29" s="45" t="s">
        <v>546</v>
      </c>
      <c r="CN29" s="45" t="s">
        <v>523</v>
      </c>
      <c r="CO29" s="45" t="s">
        <v>547</v>
      </c>
      <c r="CP29" s="45" t="s">
        <v>508</v>
      </c>
      <c r="CQ29" s="45" t="s">
        <v>548</v>
      </c>
      <c r="CR29" s="45" t="s">
        <v>524</v>
      </c>
      <c r="CS29" s="45" t="s">
        <v>509</v>
      </c>
      <c r="CT29" s="55" t="s">
        <v>511</v>
      </c>
      <c r="CU29" s="47">
        <v>1</v>
      </c>
      <c r="CV29" s="225">
        <v>0</v>
      </c>
      <c r="CW29" s="47">
        <v>1</v>
      </c>
      <c r="CX29" s="47">
        <v>1</v>
      </c>
      <c r="CY29" s="56">
        <v>1</v>
      </c>
      <c r="CZ29" s="225">
        <v>0</v>
      </c>
      <c r="DA29" s="225">
        <v>0</v>
      </c>
      <c r="DB29" s="2">
        <v>0</v>
      </c>
      <c r="DC29" s="56">
        <v>1</v>
      </c>
      <c r="DD29" s="225">
        <v>0</v>
      </c>
      <c r="DE29" s="225">
        <v>0</v>
      </c>
      <c r="DF29" s="225">
        <v>0</v>
      </c>
      <c r="DG29" s="2">
        <v>0</v>
      </c>
      <c r="DH29" s="225">
        <v>0</v>
      </c>
      <c r="DI29" s="47">
        <v>1</v>
      </c>
      <c r="DJ29" s="47">
        <v>1</v>
      </c>
      <c r="DK29" s="47">
        <v>1</v>
      </c>
      <c r="DL29" s="56">
        <v>1</v>
      </c>
      <c r="DM29" s="2">
        <v>0</v>
      </c>
      <c r="DN29" s="56">
        <v>1</v>
      </c>
      <c r="DO29" s="225">
        <v>0</v>
      </c>
      <c r="DP29" s="2">
        <v>0</v>
      </c>
      <c r="DQ29" s="2">
        <v>0</v>
      </c>
      <c r="DR29" s="60">
        <v>0.110094988735661</v>
      </c>
      <c r="DS29" s="227">
        <v>0</v>
      </c>
      <c r="DT29" s="227">
        <v>0</v>
      </c>
      <c r="DU29" s="57">
        <v>2.3118705923770001E-2</v>
      </c>
      <c r="DV29" s="57">
        <v>9.0782083831008101E-4</v>
      </c>
      <c r="DW29" s="73">
        <v>0.30076785889791802</v>
      </c>
      <c r="DX29" s="57">
        <v>2.6627214472236201E-2</v>
      </c>
      <c r="DY29" s="57">
        <v>2.0992717255544399E-2</v>
      </c>
      <c r="DZ29" s="57">
        <v>4.9274705071399798E-2</v>
      </c>
      <c r="EA29" s="57">
        <v>5.7557036021327099E-2</v>
      </c>
      <c r="EB29" s="57">
        <v>1.7894707200316599E-2</v>
      </c>
      <c r="EC29" s="57">
        <v>5.3490490817694199E-2</v>
      </c>
      <c r="ED29" s="79">
        <v>0.21846800027336799</v>
      </c>
      <c r="EE29" s="57">
        <v>2.3150410171212301E-2</v>
      </c>
      <c r="EF29" s="57">
        <v>2.4223772507170099E-2</v>
      </c>
      <c r="EG29" s="57">
        <v>5.3277569864186702E-3</v>
      </c>
      <c r="EH29" s="57">
        <v>2.30664046299912E-2</v>
      </c>
      <c r="EI29" s="227">
        <v>0</v>
      </c>
      <c r="EJ29" s="227">
        <v>0</v>
      </c>
      <c r="EK29" s="57">
        <v>3.4925504744634801E-2</v>
      </c>
      <c r="EL29" s="57">
        <v>1.0111905453027301E-2</v>
      </c>
    </row>
    <row r="30" spans="1:142" x14ac:dyDescent="0.25">
      <c r="A30" s="29" t="s">
        <v>24</v>
      </c>
      <c r="B30" s="29" t="s">
        <v>486</v>
      </c>
      <c r="C30" s="29">
        <v>1</v>
      </c>
      <c r="D30" s="29">
        <v>1</v>
      </c>
      <c r="E30" s="29">
        <v>1</v>
      </c>
      <c r="F30" s="29">
        <v>1</v>
      </c>
      <c r="G30" s="29">
        <v>1</v>
      </c>
      <c r="H30" s="29" t="s">
        <v>257</v>
      </c>
      <c r="I30" s="45">
        <v>2</v>
      </c>
      <c r="J30" s="2" t="s">
        <v>27</v>
      </c>
      <c r="K30" s="56" t="s">
        <v>539</v>
      </c>
      <c r="L30" s="62">
        <v>1</v>
      </c>
      <c r="M30" s="74">
        <v>3</v>
      </c>
      <c r="N30" s="75">
        <v>3</v>
      </c>
      <c r="O30" s="197">
        <v>2</v>
      </c>
      <c r="P30" s="197">
        <v>4</v>
      </c>
      <c r="Q30" s="49">
        <v>0</v>
      </c>
      <c r="R30" s="49">
        <v>0</v>
      </c>
      <c r="S30" s="29"/>
      <c r="T30" s="50" t="s">
        <v>488</v>
      </c>
      <c r="U30" s="2">
        <v>128</v>
      </c>
      <c r="V30" s="2">
        <v>117</v>
      </c>
      <c r="W30" s="5">
        <v>89</v>
      </c>
      <c r="X30" s="29"/>
      <c r="Y30" s="29"/>
      <c r="Z30" s="29"/>
      <c r="AA30" s="80" t="s">
        <v>26</v>
      </c>
      <c r="AB30" s="76" t="s">
        <v>25</v>
      </c>
      <c r="AC30" s="67"/>
      <c r="AD30" s="67"/>
      <c r="AE30" s="45"/>
      <c r="AF30" s="45"/>
      <c r="AG30" s="45"/>
      <c r="AI30" s="51"/>
      <c r="AJ30" s="51"/>
      <c r="AK30" s="51"/>
      <c r="AL30" s="51"/>
      <c r="AM30" s="51"/>
      <c r="AN30" s="51"/>
      <c r="AO30" s="51"/>
      <c r="AU30" s="29">
        <v>6.14226079166088E-2</v>
      </c>
      <c r="AV30" s="227">
        <v>7.8306295556932302</v>
      </c>
      <c r="AW30" s="52">
        <v>1.0418755851696773</v>
      </c>
      <c r="AX30" s="52">
        <v>0.36289735581765098</v>
      </c>
      <c r="AY30" s="52">
        <v>1.2400380242889846</v>
      </c>
      <c r="AZ30" s="52">
        <v>0.89281997690097559</v>
      </c>
      <c r="BA30" s="52">
        <v>0</v>
      </c>
      <c r="BB30" s="52">
        <v>0.8371967641568514</v>
      </c>
      <c r="BC30" s="52">
        <v>0.9997815548527893</v>
      </c>
      <c r="BD30" s="52">
        <v>0.98056974859226864</v>
      </c>
      <c r="BE30" s="2">
        <v>4.14448939123029E-4</v>
      </c>
      <c r="BF30" s="65">
        <v>0.79</v>
      </c>
      <c r="BG30" s="2" t="s">
        <v>489</v>
      </c>
      <c r="BH30" s="2">
        <v>3.58</v>
      </c>
      <c r="BI30" s="2">
        <v>1</v>
      </c>
      <c r="BJ30" s="2">
        <v>17</v>
      </c>
      <c r="BK30" s="2">
        <v>0.87</v>
      </c>
      <c r="BL30" s="2">
        <v>0.01</v>
      </c>
      <c r="BM30" s="1" t="s">
        <v>549</v>
      </c>
      <c r="BN30" s="29" t="s">
        <v>513</v>
      </c>
      <c r="BO30" s="29" t="s">
        <v>514</v>
      </c>
      <c r="BP30" s="29">
        <v>71</v>
      </c>
      <c r="BQ30" s="29">
        <v>1</v>
      </c>
      <c r="BR30" s="54" t="s">
        <v>493</v>
      </c>
      <c r="BS30" s="29" t="s">
        <v>494</v>
      </c>
      <c r="BT30" s="29" t="s">
        <v>550</v>
      </c>
      <c r="BU30" s="45" t="s">
        <v>551</v>
      </c>
      <c r="BV30" s="45" t="s">
        <v>496</v>
      </c>
      <c r="BW30" s="29" t="s">
        <v>497</v>
      </c>
      <c r="BX30" s="29" t="s">
        <v>517</v>
      </c>
      <c r="BY30" s="29">
        <v>1</v>
      </c>
      <c r="BZ30" s="29">
        <v>2.4</v>
      </c>
      <c r="CA30" s="29">
        <v>6</v>
      </c>
      <c r="CB30" s="45">
        <v>0.7</v>
      </c>
      <c r="CC30" s="2" t="s">
        <v>518</v>
      </c>
      <c r="CD30" s="29" t="s">
        <v>519</v>
      </c>
      <c r="CE30" s="29" t="s">
        <v>502</v>
      </c>
      <c r="CF30" s="29" t="s">
        <v>501</v>
      </c>
      <c r="CG30" s="29" t="s">
        <v>533</v>
      </c>
      <c r="CH30" s="29" t="s">
        <v>534</v>
      </c>
      <c r="CI30" s="29" t="s">
        <v>501</v>
      </c>
      <c r="CJ30" s="4">
        <v>1177</v>
      </c>
      <c r="CK30" s="29">
        <v>2</v>
      </c>
      <c r="CL30" s="29">
        <v>0.8</v>
      </c>
      <c r="CM30" s="29" t="s">
        <v>552</v>
      </c>
      <c r="CN30" s="29" t="s">
        <v>509</v>
      </c>
      <c r="CO30" s="29" t="s">
        <v>509</v>
      </c>
      <c r="CP30" s="29" t="s">
        <v>509</v>
      </c>
      <c r="CQ30" s="29" t="s">
        <v>510</v>
      </c>
      <c r="CR30" s="29">
        <v>0</v>
      </c>
      <c r="CS30" s="29" t="s">
        <v>509</v>
      </c>
      <c r="CT30" s="29" t="s">
        <v>509</v>
      </c>
      <c r="CU30" s="47">
        <v>1</v>
      </c>
      <c r="CV30" s="225">
        <v>0</v>
      </c>
      <c r="CW30" s="47">
        <v>1</v>
      </c>
      <c r="CX30" s="225">
        <v>0</v>
      </c>
      <c r="CY30" s="225">
        <v>0</v>
      </c>
      <c r="CZ30" s="225">
        <v>0</v>
      </c>
      <c r="DA30" s="47">
        <v>1</v>
      </c>
      <c r="DB30" s="2">
        <v>0</v>
      </c>
      <c r="DC30" s="2">
        <v>0</v>
      </c>
      <c r="DD30" s="225">
        <v>0</v>
      </c>
      <c r="DE30" s="225">
        <v>0</v>
      </c>
      <c r="DF30" s="2">
        <v>0</v>
      </c>
      <c r="DG30" s="2">
        <v>0</v>
      </c>
      <c r="DH30" s="2">
        <v>0</v>
      </c>
      <c r="DI30" s="225">
        <v>0</v>
      </c>
      <c r="DJ30" s="225">
        <v>0</v>
      </c>
      <c r="DK30" s="225">
        <v>0</v>
      </c>
      <c r="DL30" s="225">
        <v>0</v>
      </c>
      <c r="DM30" s="225">
        <v>0</v>
      </c>
      <c r="DN30" s="2">
        <v>0</v>
      </c>
      <c r="DO30" s="2">
        <v>0</v>
      </c>
      <c r="DP30" s="2">
        <v>0</v>
      </c>
      <c r="DQ30" s="2">
        <v>0</v>
      </c>
      <c r="DR30" s="60">
        <v>0.124329488936685</v>
      </c>
      <c r="DS30" s="57">
        <v>2.4121056952208001E-3</v>
      </c>
      <c r="DT30" s="60">
        <v>0.109070397803921</v>
      </c>
      <c r="DU30" s="57">
        <v>2.9900239746381198E-2</v>
      </c>
      <c r="DV30" s="57">
        <v>7.2972910070212602E-2</v>
      </c>
      <c r="DW30" s="66">
        <v>6.1790486298230203E-2</v>
      </c>
      <c r="DX30" s="57">
        <v>1.17135415725325E-3</v>
      </c>
      <c r="DY30" s="57">
        <v>4.0788497187295297E-3</v>
      </c>
      <c r="DZ30" s="57">
        <v>7.1490887237248807E-2</v>
      </c>
      <c r="EA30" s="57">
        <v>5.8092802792476597E-2</v>
      </c>
      <c r="EB30" s="57">
        <v>5.5858254957871299E-2</v>
      </c>
      <c r="EC30" s="60">
        <v>0.109571679873217</v>
      </c>
      <c r="ED30" s="57">
        <v>7.8683455870541305E-2</v>
      </c>
      <c r="EE30" s="57">
        <v>1.21817218882745E-2</v>
      </c>
      <c r="EF30" s="57">
        <v>4.2062055317064702E-2</v>
      </c>
      <c r="EG30" s="61">
        <v>0</v>
      </c>
      <c r="EH30" s="57">
        <v>2.43765514328824E-2</v>
      </c>
      <c r="EI30" s="57">
        <v>7.5895170088188205E-2</v>
      </c>
      <c r="EJ30" s="61">
        <v>0</v>
      </c>
      <c r="EK30" s="61">
        <v>0</v>
      </c>
      <c r="EL30" s="57">
        <v>6.6061588115602102E-2</v>
      </c>
    </row>
    <row r="31" spans="1:142" x14ac:dyDescent="0.25">
      <c r="A31" s="45" t="s">
        <v>50</v>
      </c>
      <c r="B31" s="45" t="s">
        <v>486</v>
      </c>
      <c r="C31" s="45">
        <v>1</v>
      </c>
      <c r="D31" s="45">
        <v>1</v>
      </c>
      <c r="E31" s="45">
        <v>1</v>
      </c>
      <c r="F31" s="45">
        <v>1</v>
      </c>
      <c r="G31" s="45">
        <v>1</v>
      </c>
      <c r="H31" s="45" t="s">
        <v>257</v>
      </c>
      <c r="I31" s="45">
        <v>2</v>
      </c>
      <c r="J31" s="225" t="s">
        <v>27</v>
      </c>
      <c r="K31" s="56" t="s">
        <v>539</v>
      </c>
      <c r="L31" s="62">
        <v>1</v>
      </c>
      <c r="M31" s="47">
        <v>1</v>
      </c>
      <c r="N31" s="75">
        <v>3</v>
      </c>
      <c r="O31" s="197">
        <v>2</v>
      </c>
      <c r="P31" s="197">
        <v>4</v>
      </c>
      <c r="Q31" s="49">
        <v>0</v>
      </c>
      <c r="R31" s="49">
        <v>0</v>
      </c>
      <c r="S31" s="45"/>
      <c r="T31" s="50" t="s">
        <v>488</v>
      </c>
      <c r="U31" s="2">
        <v>98</v>
      </c>
      <c r="V31" s="2">
        <v>98</v>
      </c>
      <c r="W31" s="5">
        <v>74</v>
      </c>
      <c r="X31" s="195" t="s">
        <v>3464</v>
      </c>
      <c r="Y31" s="45"/>
      <c r="Z31" s="45"/>
      <c r="AA31" s="67"/>
      <c r="AB31" s="76" t="s">
        <v>51</v>
      </c>
      <c r="AC31" s="81" t="s">
        <v>46</v>
      </c>
      <c r="AD31" s="67"/>
      <c r="AE31" s="45"/>
      <c r="AG31" s="45"/>
      <c r="AH31" s="45"/>
      <c r="AJ31" s="51"/>
      <c r="AK31" s="51"/>
      <c r="AL31" s="51"/>
      <c r="AM31" s="51"/>
      <c r="AN31" s="51"/>
      <c r="AO31" s="33" t="s">
        <v>512</v>
      </c>
      <c r="AQ31" s="45"/>
      <c r="AR31" s="45"/>
      <c r="AS31" s="45"/>
      <c r="AT31" s="45"/>
      <c r="AU31" s="29">
        <v>5.1429443299264403E-2</v>
      </c>
      <c r="AV31" s="227">
        <v>9.4643690293170604</v>
      </c>
      <c r="AW31" s="52">
        <v>0.87828250448910217</v>
      </c>
      <c r="AX31" s="52">
        <v>0.3638481505034184</v>
      </c>
      <c r="AY31" s="52">
        <v>1.2019650655021834</v>
      </c>
      <c r="AZ31" s="52">
        <v>0.73906106856503595</v>
      </c>
      <c r="BA31" s="52">
        <v>1.40834732410907</v>
      </c>
      <c r="BB31" s="52">
        <v>0.97317332745303997</v>
      </c>
      <c r="BC31" s="52">
        <v>1.4569940270767223</v>
      </c>
      <c r="BD31" s="52">
        <v>0.70133249023963073</v>
      </c>
      <c r="BE31" s="84">
        <v>9.5476250193079327E-5</v>
      </c>
      <c r="BF31" s="65">
        <v>0.75</v>
      </c>
      <c r="BG31" s="2" t="s">
        <v>489</v>
      </c>
      <c r="BH31" s="5">
        <v>4.7</v>
      </c>
      <c r="BI31" s="2">
        <v>2</v>
      </c>
      <c r="BJ31" s="2">
        <v>25</v>
      </c>
      <c r="BK31" s="2">
        <v>0.88</v>
      </c>
      <c r="BL31" s="2">
        <v>0.06</v>
      </c>
      <c r="BM31" s="225"/>
      <c r="BN31" s="45" t="s">
        <v>513</v>
      </c>
      <c r="BO31" s="45" t="s">
        <v>514</v>
      </c>
      <c r="BP31" s="45">
        <v>76</v>
      </c>
      <c r="BQ31" s="45" t="s">
        <v>0</v>
      </c>
      <c r="BR31" s="54" t="s">
        <v>493</v>
      </c>
      <c r="BS31" s="45" t="s">
        <v>494</v>
      </c>
      <c r="BT31" s="45" t="s">
        <v>495</v>
      </c>
      <c r="BU31" s="45" t="s">
        <v>542</v>
      </c>
      <c r="BV31" s="45" t="s">
        <v>516</v>
      </c>
      <c r="BW31" s="45" t="s">
        <v>497</v>
      </c>
      <c r="BX31" s="45" t="s">
        <v>517</v>
      </c>
      <c r="BY31" s="45">
        <v>1</v>
      </c>
      <c r="BZ31" s="45" t="s">
        <v>499</v>
      </c>
      <c r="CA31" s="45" t="s">
        <v>3</v>
      </c>
      <c r="CB31" s="45">
        <v>0.4</v>
      </c>
      <c r="CC31" s="51"/>
      <c r="CD31" s="45" t="s">
        <v>557</v>
      </c>
      <c r="CE31" s="55" t="s">
        <v>544</v>
      </c>
      <c r="CF31" s="45" t="s">
        <v>519</v>
      </c>
      <c r="CG31" s="45" t="s">
        <v>533</v>
      </c>
      <c r="CH31" s="45" t="s">
        <v>502</v>
      </c>
      <c r="CI31" s="45" t="s">
        <v>519</v>
      </c>
      <c r="CJ31" s="219">
        <v>848</v>
      </c>
      <c r="CK31" s="45">
        <v>2</v>
      </c>
      <c r="CL31" s="45">
        <v>0.9</v>
      </c>
      <c r="CM31" s="45" t="s">
        <v>506</v>
      </c>
      <c r="CN31" s="45" t="s">
        <v>509</v>
      </c>
      <c r="CO31" s="45" t="s">
        <v>509</v>
      </c>
      <c r="CP31" s="45" t="s">
        <v>509</v>
      </c>
      <c r="CQ31" s="45" t="s">
        <v>510</v>
      </c>
      <c r="CR31" s="45">
        <v>0</v>
      </c>
      <c r="CS31" s="45" t="s">
        <v>509</v>
      </c>
      <c r="CT31" s="45" t="s">
        <v>509</v>
      </c>
      <c r="CU31" s="225">
        <v>0</v>
      </c>
      <c r="CV31" s="225">
        <v>0</v>
      </c>
      <c r="CW31" s="47">
        <v>1</v>
      </c>
      <c r="CX31" s="225">
        <v>0</v>
      </c>
      <c r="CY31" s="56">
        <v>1</v>
      </c>
      <c r="CZ31" s="56">
        <v>1</v>
      </c>
      <c r="DA31" s="47">
        <v>1</v>
      </c>
      <c r="DB31" s="47">
        <v>1</v>
      </c>
      <c r="DC31" s="56">
        <v>1</v>
      </c>
      <c r="DD31" s="225">
        <v>0</v>
      </c>
      <c r="DE31" s="47">
        <v>1</v>
      </c>
      <c r="DF31" s="2">
        <v>0</v>
      </c>
      <c r="DG31" s="2">
        <v>0</v>
      </c>
      <c r="DH31" s="225">
        <v>0</v>
      </c>
      <c r="DI31" s="225">
        <v>0</v>
      </c>
      <c r="DJ31" s="47">
        <v>1</v>
      </c>
      <c r="DK31" s="225">
        <v>0</v>
      </c>
      <c r="DL31" s="225">
        <v>0</v>
      </c>
      <c r="DM31" s="47">
        <v>1</v>
      </c>
      <c r="DN31" s="2">
        <v>0</v>
      </c>
      <c r="DO31" s="225">
        <v>0</v>
      </c>
      <c r="DP31" s="2">
        <v>0</v>
      </c>
      <c r="DQ31" s="56">
        <v>1</v>
      </c>
      <c r="DR31" s="227">
        <v>0</v>
      </c>
      <c r="DS31" s="227">
        <v>0</v>
      </c>
      <c r="DT31" s="57">
        <v>5.8087541372797397E-2</v>
      </c>
      <c r="DU31" s="57">
        <v>4.05266129933185E-2</v>
      </c>
      <c r="DV31" s="60">
        <v>0.114959338313601</v>
      </c>
      <c r="DW31" s="86">
        <v>0.14317318520731001</v>
      </c>
      <c r="DX31" s="227">
        <v>0</v>
      </c>
      <c r="DY31" s="60">
        <v>0.10689601464753</v>
      </c>
      <c r="DZ31" s="227">
        <v>0</v>
      </c>
      <c r="EA31" s="57">
        <v>3.9072063052698502E-2</v>
      </c>
      <c r="EB31" s="57">
        <v>6.6386280949796095E-2</v>
      </c>
      <c r="EC31" s="57">
        <v>3.27784446718936E-2</v>
      </c>
      <c r="ED31" s="60">
        <v>0.109750224221319</v>
      </c>
      <c r="EE31" s="57">
        <v>9.7634916548006295E-2</v>
      </c>
      <c r="EF31" s="57">
        <v>7.8810968880946894E-2</v>
      </c>
      <c r="EG31" s="57">
        <v>1.61755205280604E-2</v>
      </c>
      <c r="EH31" s="57">
        <v>8.49469822961311E-3</v>
      </c>
      <c r="EI31" s="227">
        <v>0</v>
      </c>
      <c r="EJ31" s="57">
        <v>7.0636693909978898E-2</v>
      </c>
      <c r="EK31" s="57">
        <v>1.4570253131743999E-2</v>
      </c>
      <c r="EL31" s="57">
        <v>2.0472433413865699E-3</v>
      </c>
    </row>
    <row r="32" spans="1:142" x14ac:dyDescent="0.25">
      <c r="A32" s="5" t="s">
        <v>73</v>
      </c>
      <c r="B32" s="5" t="s">
        <v>486</v>
      </c>
      <c r="C32" s="5">
        <v>1</v>
      </c>
      <c r="D32" s="5">
        <v>1</v>
      </c>
      <c r="E32" s="5">
        <v>1</v>
      </c>
      <c r="F32" s="5">
        <v>1</v>
      </c>
      <c r="G32" s="5">
        <v>1</v>
      </c>
      <c r="H32" s="5" t="s">
        <v>257</v>
      </c>
      <c r="I32" s="45">
        <v>1</v>
      </c>
      <c r="J32" s="84" t="s">
        <v>78</v>
      </c>
      <c r="K32" s="56" t="s">
        <v>539</v>
      </c>
      <c r="L32" s="62">
        <v>1</v>
      </c>
      <c r="M32" s="47">
        <v>1</v>
      </c>
      <c r="N32" s="75">
        <v>3</v>
      </c>
      <c r="O32" s="197">
        <v>4</v>
      </c>
      <c r="P32" s="197">
        <v>4</v>
      </c>
      <c r="Q32" s="49">
        <v>0</v>
      </c>
      <c r="R32" s="49">
        <v>0</v>
      </c>
      <c r="S32" s="5"/>
      <c r="T32" s="50" t="s">
        <v>488</v>
      </c>
      <c r="W32" s="5"/>
      <c r="X32" s="5"/>
      <c r="Y32" s="5"/>
      <c r="Z32" s="5"/>
      <c r="AA32" s="67"/>
      <c r="AB32" s="67"/>
      <c r="AC32" s="67"/>
      <c r="AD32" s="67"/>
      <c r="AE32" s="67"/>
      <c r="AG32" s="45"/>
      <c r="AH32" s="51"/>
      <c r="AI32" s="51"/>
      <c r="AJ32" s="51"/>
      <c r="AK32" s="45"/>
      <c r="AL32" s="45"/>
      <c r="AM32" s="45"/>
      <c r="AN32" s="51"/>
      <c r="AO32" s="51"/>
      <c r="AQ32" s="45"/>
      <c r="AR32" s="75" t="s">
        <v>565</v>
      </c>
      <c r="AS32" s="45"/>
      <c r="AT32" s="45"/>
      <c r="AU32" s="29">
        <v>8.8576734226880602E-2</v>
      </c>
      <c r="AV32" s="227">
        <v>9.3129268870991204</v>
      </c>
      <c r="AW32" s="52">
        <v>0.56616120513427104</v>
      </c>
      <c r="AX32" s="52">
        <v>1.7943745973931284</v>
      </c>
      <c r="AY32" s="52">
        <v>0.71787806717326985</v>
      </c>
      <c r="AZ32" s="52">
        <v>0.71995132910470561</v>
      </c>
      <c r="BA32" s="52">
        <v>22.319651927098896</v>
      </c>
      <c r="BB32" s="52">
        <v>0.5954884346452608</v>
      </c>
      <c r="BC32" s="52">
        <v>1.204943786524824</v>
      </c>
      <c r="BD32" s="52">
        <v>0.85690713542508334</v>
      </c>
      <c r="BE32" s="84">
        <v>7.1954968964866713E-5</v>
      </c>
      <c r="BF32" s="65">
        <v>0.73</v>
      </c>
      <c r="BG32" s="2" t="s">
        <v>489</v>
      </c>
      <c r="BH32" s="5">
        <v>4.29</v>
      </c>
      <c r="BI32" s="2">
        <v>2</v>
      </c>
      <c r="BJ32" s="2">
        <v>21</v>
      </c>
      <c r="BK32" s="2">
        <v>0.85</v>
      </c>
      <c r="BL32" s="2">
        <v>0.03</v>
      </c>
      <c r="BM32" s="1" t="s">
        <v>555</v>
      </c>
      <c r="BN32" s="5" t="s">
        <v>513</v>
      </c>
      <c r="BO32" s="5" t="s">
        <v>514</v>
      </c>
      <c r="BP32" s="5">
        <v>62</v>
      </c>
      <c r="BQ32" s="5">
        <v>0</v>
      </c>
      <c r="BR32" s="5" t="s">
        <v>561</v>
      </c>
      <c r="BS32" s="5" t="s">
        <v>494</v>
      </c>
      <c r="BT32" s="5" t="s">
        <v>550</v>
      </c>
      <c r="BU32" s="5" t="s">
        <v>515</v>
      </c>
      <c r="BV32" s="5" t="s">
        <v>496</v>
      </c>
      <c r="BW32" s="5" t="s">
        <v>497</v>
      </c>
      <c r="BX32" s="5" t="s">
        <v>517</v>
      </c>
      <c r="BY32" s="5">
        <v>0</v>
      </c>
      <c r="BZ32" s="88">
        <v>2008</v>
      </c>
      <c r="CA32" s="5">
        <v>208</v>
      </c>
      <c r="CB32" s="45">
        <v>1.8</v>
      </c>
      <c r="CC32" s="89"/>
      <c r="CD32" s="5" t="s">
        <v>557</v>
      </c>
      <c r="CE32" s="90" t="s">
        <v>544</v>
      </c>
      <c r="CF32" s="5" t="s">
        <v>562</v>
      </c>
      <c r="CG32" s="45" t="s">
        <v>533</v>
      </c>
      <c r="CH32" s="45" t="s">
        <v>502</v>
      </c>
      <c r="CI32" s="45" t="s">
        <v>501</v>
      </c>
      <c r="CJ32" s="219">
        <v>848</v>
      </c>
      <c r="CK32" s="91">
        <v>2</v>
      </c>
      <c r="CL32" s="45">
        <v>0.65</v>
      </c>
      <c r="CM32" s="92" t="s">
        <v>546</v>
      </c>
      <c r="CN32" s="85" t="s">
        <v>509</v>
      </c>
      <c r="CO32" s="85" t="s">
        <v>509</v>
      </c>
      <c r="CP32" s="85" t="s">
        <v>509</v>
      </c>
      <c r="CQ32" s="85" t="s">
        <v>548</v>
      </c>
      <c r="CR32" s="85" t="s">
        <v>566</v>
      </c>
      <c r="CS32" s="85" t="s">
        <v>509</v>
      </c>
      <c r="CT32" s="93" t="s">
        <v>511</v>
      </c>
      <c r="CU32" s="47">
        <v>1</v>
      </c>
      <c r="CV32" s="225">
        <v>0</v>
      </c>
      <c r="CW32" s="225">
        <v>0</v>
      </c>
      <c r="CX32" s="225">
        <v>0</v>
      </c>
      <c r="CY32" s="225">
        <v>0</v>
      </c>
      <c r="CZ32" s="56">
        <v>1</v>
      </c>
      <c r="DA32" s="225">
        <v>0</v>
      </c>
      <c r="DB32" s="2">
        <v>0</v>
      </c>
      <c r="DC32" s="225">
        <v>0</v>
      </c>
      <c r="DD32" s="2">
        <v>0</v>
      </c>
      <c r="DE32" s="2">
        <v>0</v>
      </c>
      <c r="DF32" s="56">
        <v>1</v>
      </c>
      <c r="DG32" s="47">
        <v>1</v>
      </c>
      <c r="DH32" s="47">
        <v>1</v>
      </c>
      <c r="DI32" s="225">
        <v>0</v>
      </c>
      <c r="DJ32" s="225">
        <v>0</v>
      </c>
      <c r="DK32" s="225">
        <v>0</v>
      </c>
      <c r="DL32" s="56">
        <v>1</v>
      </c>
      <c r="DM32" s="2">
        <v>0</v>
      </c>
      <c r="DN32" s="56">
        <v>1</v>
      </c>
      <c r="DO32" s="225">
        <v>0</v>
      </c>
      <c r="DP32" s="225">
        <v>0</v>
      </c>
      <c r="DQ32" s="2">
        <v>0</v>
      </c>
      <c r="DR32" s="57">
        <v>4.12698586411813E-3</v>
      </c>
      <c r="DS32" s="227">
        <v>0</v>
      </c>
      <c r="DT32" s="57">
        <v>4.76763363271678E-2</v>
      </c>
      <c r="DU32" s="57">
        <v>6.7687535860781398E-2</v>
      </c>
      <c r="DV32" s="60">
        <v>0.10121023614301999</v>
      </c>
      <c r="DW32" s="59">
        <v>0.19213111121925899</v>
      </c>
      <c r="DX32" s="57">
        <v>3.5037112441064097E-2</v>
      </c>
      <c r="DY32" s="60">
        <v>0.10046623394324</v>
      </c>
      <c r="DZ32" s="57">
        <v>4.59091018058536E-2</v>
      </c>
      <c r="EA32" s="57">
        <v>4.1946765584271503E-2</v>
      </c>
      <c r="EB32" s="57">
        <v>2.3027264916646001E-2</v>
      </c>
      <c r="EC32" s="57">
        <v>2.6513812537280398E-2</v>
      </c>
      <c r="ED32" s="57">
        <v>4.6251418150927197E-2</v>
      </c>
      <c r="EE32" s="58">
        <v>0.15261607627617799</v>
      </c>
      <c r="EF32" s="227">
        <v>0</v>
      </c>
      <c r="EG32" s="57">
        <v>4.0596823466799797E-2</v>
      </c>
      <c r="EH32" s="57">
        <v>1.62024486763011E-2</v>
      </c>
      <c r="EI32" s="57">
        <v>1.7817652307446401E-2</v>
      </c>
      <c r="EJ32" s="57">
        <v>2.09874082513632E-2</v>
      </c>
      <c r="EK32" s="61">
        <v>0</v>
      </c>
      <c r="EL32" s="57">
        <v>1.9795676228281999E-2</v>
      </c>
    </row>
    <row r="33" spans="1:142" x14ac:dyDescent="0.25">
      <c r="A33" s="45" t="s">
        <v>38</v>
      </c>
      <c r="B33" s="29" t="s">
        <v>486</v>
      </c>
      <c r="C33" s="29">
        <v>1</v>
      </c>
      <c r="D33" s="29">
        <v>1</v>
      </c>
      <c r="E33" s="29">
        <v>1</v>
      </c>
      <c r="F33" s="29">
        <v>1</v>
      </c>
      <c r="G33" s="29">
        <v>1</v>
      </c>
      <c r="H33" s="29">
        <v>1</v>
      </c>
      <c r="I33" s="45">
        <v>2</v>
      </c>
      <c r="J33" s="225" t="s">
        <v>27</v>
      </c>
      <c r="K33" s="56" t="s">
        <v>539</v>
      </c>
      <c r="L33" s="74">
        <v>3</v>
      </c>
      <c r="M33" s="74">
        <v>3</v>
      </c>
      <c r="N33" s="75">
        <v>3</v>
      </c>
      <c r="O33" s="197">
        <v>3</v>
      </c>
      <c r="P33" s="197">
        <v>1</v>
      </c>
      <c r="Q33" s="49">
        <v>0</v>
      </c>
      <c r="R33" s="49">
        <v>0</v>
      </c>
      <c r="S33" s="197">
        <v>4</v>
      </c>
      <c r="T33" s="50" t="s">
        <v>488</v>
      </c>
      <c r="U33" s="2">
        <v>72</v>
      </c>
      <c r="V33" s="2">
        <v>66</v>
      </c>
      <c r="W33" s="5">
        <v>53</v>
      </c>
      <c r="X33" s="96" t="s">
        <v>575</v>
      </c>
      <c r="Y33" s="29"/>
      <c r="Z33" s="29"/>
      <c r="AA33" s="67"/>
      <c r="AB33" s="67"/>
      <c r="AC33" s="67"/>
      <c r="AD33" s="67"/>
      <c r="AE33" s="45"/>
      <c r="AF33" s="45"/>
      <c r="AG33" s="45"/>
      <c r="AH33" s="51"/>
      <c r="AI33" s="51"/>
      <c r="AJ33" s="51"/>
      <c r="AK33" s="51"/>
      <c r="AL33" s="51"/>
      <c r="AM33" s="51"/>
      <c r="AN33" s="51"/>
      <c r="AO33" s="51"/>
      <c r="AU33" s="29">
        <v>2.89381512439871E-2</v>
      </c>
      <c r="AV33" s="227">
        <v>10.012008291074901</v>
      </c>
      <c r="AW33" s="52">
        <v>0.2755975990499841</v>
      </c>
      <c r="AX33" s="52">
        <v>0.74390368211093894</v>
      </c>
      <c r="AY33" s="52">
        <v>0.53127719766593995</v>
      </c>
      <c r="AZ33" s="52">
        <v>1.7769898805461317</v>
      </c>
      <c r="BA33" s="52">
        <v>0.37861572971723179</v>
      </c>
      <c r="BB33" s="52">
        <v>0.82962600831092637</v>
      </c>
      <c r="BC33" s="52">
        <v>0.7522587485398361</v>
      </c>
      <c r="BD33" s="52">
        <v>1.6079187843102263</v>
      </c>
      <c r="BE33" s="2">
        <v>7.8071782873526401E-4</v>
      </c>
      <c r="BF33" s="45">
        <v>0.91</v>
      </c>
      <c r="BG33" s="2" t="s">
        <v>489</v>
      </c>
      <c r="BH33" s="2">
        <v>2.29</v>
      </c>
      <c r="BI33" s="2">
        <v>0</v>
      </c>
      <c r="BJ33" s="2">
        <v>10</v>
      </c>
      <c r="BK33" s="2">
        <v>0.92</v>
      </c>
      <c r="BL33" s="2">
        <v>0.08</v>
      </c>
      <c r="BM33" s="1" t="s">
        <v>555</v>
      </c>
      <c r="BN33" s="29" t="s">
        <v>513</v>
      </c>
      <c r="BO33" s="29" t="s">
        <v>492</v>
      </c>
      <c r="BP33" s="29">
        <v>68</v>
      </c>
      <c r="BQ33" s="29">
        <v>0</v>
      </c>
      <c r="BR33" s="225" t="s">
        <v>493</v>
      </c>
      <c r="BS33" s="29" t="s">
        <v>494</v>
      </c>
      <c r="BT33" s="29" t="s">
        <v>495</v>
      </c>
      <c r="BU33" s="45" t="s">
        <v>515</v>
      </c>
      <c r="BV33" s="45" t="s">
        <v>496</v>
      </c>
      <c r="BW33" s="29" t="s">
        <v>497</v>
      </c>
      <c r="BX33" s="29" t="s">
        <v>517</v>
      </c>
      <c r="BY33" s="29">
        <v>1</v>
      </c>
      <c r="BZ33" s="29">
        <v>4.3</v>
      </c>
      <c r="CA33" s="29">
        <v>247</v>
      </c>
      <c r="CB33" s="225">
        <v>1.4</v>
      </c>
      <c r="CC33" s="2" t="s">
        <v>518</v>
      </c>
      <c r="CD33" s="29" t="s">
        <v>519</v>
      </c>
      <c r="CE33" s="29" t="s">
        <v>502</v>
      </c>
      <c r="CF33" s="29" t="s">
        <v>519</v>
      </c>
      <c r="CG33" s="29" t="s">
        <v>533</v>
      </c>
      <c r="CH33" s="55" t="s">
        <v>360</v>
      </c>
      <c r="CI33" s="29" t="s">
        <v>519</v>
      </c>
      <c r="CJ33" s="4">
        <v>50</v>
      </c>
      <c r="CK33" s="29">
        <v>2</v>
      </c>
      <c r="CL33" s="29">
        <v>0.85</v>
      </c>
      <c r="CM33" s="29" t="s">
        <v>522</v>
      </c>
      <c r="CN33" s="29" t="s">
        <v>509</v>
      </c>
      <c r="CO33" s="29" t="s">
        <v>509</v>
      </c>
      <c r="CP33" s="29" t="s">
        <v>509</v>
      </c>
      <c r="CQ33" s="29" t="s">
        <v>572</v>
      </c>
      <c r="CR33" s="29" t="s">
        <v>524</v>
      </c>
      <c r="CS33" s="29" t="s">
        <v>509</v>
      </c>
      <c r="CT33" s="29" t="s">
        <v>509</v>
      </c>
      <c r="CU33" s="47">
        <v>1</v>
      </c>
      <c r="CV33" s="56">
        <v>1</v>
      </c>
      <c r="CW33" s="225">
        <v>0</v>
      </c>
      <c r="CX33" s="225">
        <v>0</v>
      </c>
      <c r="CY33" s="2">
        <v>0</v>
      </c>
      <c r="CZ33" s="56">
        <v>1</v>
      </c>
      <c r="DA33" s="225">
        <v>0</v>
      </c>
      <c r="DB33" s="225">
        <v>0</v>
      </c>
      <c r="DC33" s="225">
        <v>0</v>
      </c>
      <c r="DD33" s="225">
        <v>0</v>
      </c>
      <c r="DE33" s="225">
        <v>0</v>
      </c>
      <c r="DF33" s="56">
        <v>1</v>
      </c>
      <c r="DG33" s="225">
        <v>0</v>
      </c>
      <c r="DH33" s="225">
        <v>0</v>
      </c>
      <c r="DI33" s="225">
        <v>0</v>
      </c>
      <c r="DJ33" s="225">
        <v>0</v>
      </c>
      <c r="DK33" s="225">
        <v>0</v>
      </c>
      <c r="DL33" s="2">
        <v>0</v>
      </c>
      <c r="DM33" s="47">
        <v>1</v>
      </c>
      <c r="DN33" s="225">
        <v>0</v>
      </c>
      <c r="DO33" s="225">
        <v>0</v>
      </c>
      <c r="DP33" s="2">
        <v>0</v>
      </c>
      <c r="DQ33" s="2">
        <v>0</v>
      </c>
      <c r="DR33" s="227">
        <v>0</v>
      </c>
      <c r="DS33" s="227">
        <v>0</v>
      </c>
      <c r="DT33" s="57">
        <v>9.3071264804390999E-2</v>
      </c>
      <c r="DU33" s="227">
        <v>0</v>
      </c>
      <c r="DV33" s="60">
        <v>0.14304630185867401</v>
      </c>
      <c r="DW33" s="86">
        <v>0.119259262913887</v>
      </c>
      <c r="DX33" s="57">
        <v>3.7234929217921403E-2</v>
      </c>
      <c r="DY33" s="57">
        <v>2.1379779713249801E-2</v>
      </c>
      <c r="DZ33" s="57">
        <v>3.73150732857307E-2</v>
      </c>
      <c r="EA33" s="58">
        <v>0.158786183936381</v>
      </c>
      <c r="EB33" s="57">
        <v>7.5263459649893699E-2</v>
      </c>
      <c r="EC33" s="57">
        <v>7.1597948342616305E-2</v>
      </c>
      <c r="ED33" s="61">
        <v>0</v>
      </c>
      <c r="EE33" s="227">
        <v>0</v>
      </c>
      <c r="EF33" s="57">
        <v>7.1010608089110999E-2</v>
      </c>
      <c r="EG33" s="61">
        <v>0</v>
      </c>
      <c r="EH33" s="57">
        <v>9.5376855911437602E-2</v>
      </c>
      <c r="EI33" s="57">
        <v>1.5913876400059201E-2</v>
      </c>
      <c r="EJ33" s="57">
        <v>4.1956792856262803E-2</v>
      </c>
      <c r="EK33" s="57">
        <v>2.8571613751261099E-3</v>
      </c>
      <c r="EL33" s="57">
        <v>1.59305016452586E-2</v>
      </c>
    </row>
    <row r="34" spans="1:142" x14ac:dyDescent="0.25">
      <c r="A34" s="45" t="s">
        <v>57</v>
      </c>
      <c r="B34" s="29" t="s">
        <v>486</v>
      </c>
      <c r="C34" s="29">
        <v>1</v>
      </c>
      <c r="D34" s="29">
        <v>1</v>
      </c>
      <c r="E34" s="29">
        <v>1</v>
      </c>
      <c r="F34" s="29">
        <v>1</v>
      </c>
      <c r="G34" s="29">
        <v>1</v>
      </c>
      <c r="H34" s="29">
        <v>1</v>
      </c>
      <c r="I34" s="45">
        <v>2</v>
      </c>
      <c r="J34" s="225" t="s">
        <v>27</v>
      </c>
      <c r="K34" s="56" t="s">
        <v>539</v>
      </c>
      <c r="L34" s="74">
        <v>3</v>
      </c>
      <c r="M34" s="74">
        <v>3</v>
      </c>
      <c r="N34" s="75">
        <v>3</v>
      </c>
      <c r="O34" s="197">
        <v>1</v>
      </c>
      <c r="P34" s="197">
        <v>3</v>
      </c>
      <c r="Q34" s="49">
        <v>0</v>
      </c>
      <c r="R34" s="49">
        <v>0</v>
      </c>
      <c r="S34" s="227">
        <v>1</v>
      </c>
      <c r="T34" s="50">
        <v>6</v>
      </c>
      <c r="U34" s="2">
        <v>44</v>
      </c>
      <c r="V34" s="2">
        <v>36</v>
      </c>
      <c r="W34" s="5">
        <v>29</v>
      </c>
      <c r="X34" s="29"/>
      <c r="Y34" s="29"/>
      <c r="Z34" s="29"/>
      <c r="AA34" s="67"/>
      <c r="AB34" s="76" t="s">
        <v>58</v>
      </c>
      <c r="AC34" s="67"/>
      <c r="AD34" s="67"/>
      <c r="AE34" s="45"/>
      <c r="AF34" s="45"/>
      <c r="AG34" s="45"/>
      <c r="AH34" s="45"/>
      <c r="AI34" s="45"/>
      <c r="AJ34" s="51"/>
      <c r="AK34" s="51"/>
      <c r="AL34" s="51"/>
      <c r="AM34" s="51"/>
      <c r="AN34" s="51"/>
      <c r="AO34" s="51"/>
      <c r="AU34" s="29">
        <v>0.27782516787501998</v>
      </c>
      <c r="AV34" s="227">
        <v>8.9366161094666605</v>
      </c>
      <c r="AW34" s="52">
        <v>3.0681391303714722</v>
      </c>
      <c r="AX34" s="52">
        <v>0.42412039086733455</v>
      </c>
      <c r="AY34" s="52">
        <v>0.93989786193253932</v>
      </c>
      <c r="AZ34" s="52">
        <v>1.2634824874558959</v>
      </c>
      <c r="BA34" s="52">
        <v>0.12550744593178434</v>
      </c>
      <c r="BB34" s="52">
        <v>0.4699502292309613</v>
      </c>
      <c r="BC34" s="52">
        <v>0.96665477282003587</v>
      </c>
      <c r="BD34" s="52">
        <v>1.2529177953332926</v>
      </c>
      <c r="BE34" s="2">
        <v>8.7105853440798398E-4</v>
      </c>
      <c r="BF34" s="78">
        <v>0.57999999999999996</v>
      </c>
      <c r="BG34" s="2" t="s">
        <v>489</v>
      </c>
      <c r="BH34" s="2">
        <v>1.87</v>
      </c>
      <c r="BI34" s="2">
        <v>0</v>
      </c>
      <c r="BJ34" s="2">
        <v>14</v>
      </c>
      <c r="BK34" s="2">
        <v>0.56000000000000005</v>
      </c>
      <c r="BL34" s="2">
        <v>0.08</v>
      </c>
      <c r="BM34" s="1" t="s">
        <v>555</v>
      </c>
      <c r="BN34" s="29" t="s">
        <v>513</v>
      </c>
      <c r="BO34" s="29" t="s">
        <v>514</v>
      </c>
      <c r="BP34" s="29">
        <v>77</v>
      </c>
      <c r="BQ34" s="29">
        <v>0</v>
      </c>
      <c r="BR34" s="225" t="s">
        <v>493</v>
      </c>
      <c r="BS34" s="29" t="s">
        <v>568</v>
      </c>
      <c r="BT34" s="29" t="s">
        <v>495</v>
      </c>
      <c r="BU34" s="45" t="s">
        <v>4</v>
      </c>
      <c r="BV34" s="45" t="s">
        <v>496</v>
      </c>
      <c r="BW34" s="29" t="s">
        <v>497</v>
      </c>
      <c r="BX34" s="29" t="s">
        <v>498</v>
      </c>
      <c r="BY34" s="29">
        <v>1</v>
      </c>
      <c r="BZ34" s="29">
        <v>3.6</v>
      </c>
      <c r="CA34" s="29">
        <v>11</v>
      </c>
      <c r="CB34" s="225">
        <v>0.5</v>
      </c>
      <c r="CC34" s="225" t="s">
        <v>500</v>
      </c>
      <c r="CD34" s="29" t="s">
        <v>519</v>
      </c>
      <c r="CE34" s="29" t="s">
        <v>502</v>
      </c>
      <c r="CF34" s="29" t="s">
        <v>519</v>
      </c>
      <c r="CG34" s="29" t="s">
        <v>533</v>
      </c>
      <c r="CH34" s="55" t="s">
        <v>360</v>
      </c>
      <c r="CI34" s="29" t="s">
        <v>519</v>
      </c>
      <c r="CJ34" s="4">
        <v>1542</v>
      </c>
      <c r="CK34" s="29">
        <v>2</v>
      </c>
      <c r="CL34" s="29">
        <v>0.75</v>
      </c>
      <c r="CM34" s="29" t="s">
        <v>552</v>
      </c>
      <c r="CN34" s="29" t="s">
        <v>507</v>
      </c>
      <c r="CO34" s="29" t="s">
        <v>547</v>
      </c>
      <c r="CP34" s="29" t="s">
        <v>509</v>
      </c>
      <c r="CQ34" s="29" t="s">
        <v>572</v>
      </c>
      <c r="CR34" s="29" t="s">
        <v>524</v>
      </c>
      <c r="CS34" s="29" t="s">
        <v>509</v>
      </c>
      <c r="CT34" s="29" t="s">
        <v>509</v>
      </c>
      <c r="CU34" s="47">
        <v>1</v>
      </c>
      <c r="CV34" s="56">
        <v>1</v>
      </c>
      <c r="CW34" s="47">
        <v>1</v>
      </c>
      <c r="CX34" s="47">
        <v>1</v>
      </c>
      <c r="CY34" s="225">
        <v>0</v>
      </c>
      <c r="CZ34" s="2">
        <v>0</v>
      </c>
      <c r="DA34" s="225">
        <v>0</v>
      </c>
      <c r="DB34" s="225">
        <v>0</v>
      </c>
      <c r="DC34" s="56">
        <v>1</v>
      </c>
      <c r="DD34" s="225">
        <v>0</v>
      </c>
      <c r="DE34" s="225">
        <v>0</v>
      </c>
      <c r="DF34" s="225">
        <v>0</v>
      </c>
      <c r="DG34" s="225">
        <v>0</v>
      </c>
      <c r="DH34" s="225">
        <v>0</v>
      </c>
      <c r="DI34" s="47">
        <v>1</v>
      </c>
      <c r="DJ34" s="47">
        <v>1</v>
      </c>
      <c r="DK34" s="47">
        <v>1</v>
      </c>
      <c r="DL34" s="2">
        <v>0</v>
      </c>
      <c r="DM34" s="225">
        <v>0</v>
      </c>
      <c r="DN34" s="225">
        <v>0</v>
      </c>
      <c r="DO34" s="225">
        <v>0</v>
      </c>
      <c r="DP34" s="47">
        <v>1</v>
      </c>
      <c r="DQ34" s="225">
        <v>0</v>
      </c>
      <c r="DR34" s="60">
        <v>0.13039725706978</v>
      </c>
      <c r="DS34" s="57">
        <v>7.4150182427190195E-2</v>
      </c>
      <c r="DT34" s="57">
        <v>6.2320806871471103E-2</v>
      </c>
      <c r="DU34" s="61">
        <v>0</v>
      </c>
      <c r="DV34" s="57">
        <v>4.9264101698274103E-2</v>
      </c>
      <c r="DW34" s="73">
        <v>0.20658951246582899</v>
      </c>
      <c r="DX34" s="57">
        <v>2.34780070291415E-2</v>
      </c>
      <c r="DY34" s="57">
        <v>8.90880624975917E-2</v>
      </c>
      <c r="DZ34" s="57">
        <v>8.5505906396434392E-3</v>
      </c>
      <c r="EA34" s="57">
        <v>3.53623350045425E-2</v>
      </c>
      <c r="EB34" s="57">
        <v>4.6734041702467997E-2</v>
      </c>
      <c r="EC34" s="57">
        <v>1.83253114614681E-2</v>
      </c>
      <c r="ED34" s="61">
        <v>0</v>
      </c>
      <c r="EE34" s="227">
        <v>0</v>
      </c>
      <c r="EF34" s="57">
        <v>7.8608294707676704E-2</v>
      </c>
      <c r="EG34" s="61">
        <v>0</v>
      </c>
      <c r="EH34" s="57">
        <v>1.8082657566766601E-2</v>
      </c>
      <c r="EI34" s="227">
        <v>0</v>
      </c>
      <c r="EJ34" s="57">
        <v>8.5544650775745204E-2</v>
      </c>
      <c r="EK34" s="57">
        <v>4.67994724998285E-2</v>
      </c>
      <c r="EL34" s="57">
        <v>2.67047155825837E-2</v>
      </c>
    </row>
    <row r="35" spans="1:142" x14ac:dyDescent="0.25">
      <c r="A35" s="45" t="s">
        <v>37</v>
      </c>
      <c r="B35" s="29" t="s">
        <v>486</v>
      </c>
      <c r="C35" s="29">
        <v>1</v>
      </c>
      <c r="D35" s="29">
        <v>1</v>
      </c>
      <c r="E35" s="29">
        <v>1</v>
      </c>
      <c r="F35" s="29">
        <v>1</v>
      </c>
      <c r="G35" s="29">
        <v>1</v>
      </c>
      <c r="H35" s="29">
        <v>1</v>
      </c>
      <c r="I35" s="45">
        <v>2</v>
      </c>
      <c r="J35" s="225" t="s">
        <v>27</v>
      </c>
      <c r="K35" s="56" t="s">
        <v>539</v>
      </c>
      <c r="L35" s="74">
        <v>3</v>
      </c>
      <c r="M35" s="74">
        <v>3</v>
      </c>
      <c r="N35" s="95">
        <v>2</v>
      </c>
      <c r="O35" s="197">
        <v>2</v>
      </c>
      <c r="P35" s="197">
        <v>1</v>
      </c>
      <c r="Q35" s="49">
        <v>0</v>
      </c>
      <c r="R35" s="49">
        <v>0</v>
      </c>
      <c r="S35" s="227">
        <v>4</v>
      </c>
      <c r="T35" s="50" t="s">
        <v>488</v>
      </c>
      <c r="U35" s="2">
        <v>40</v>
      </c>
      <c r="V35" s="2">
        <v>35</v>
      </c>
      <c r="W35" s="5">
        <v>31</v>
      </c>
      <c r="X35" s="96" t="s">
        <v>580</v>
      </c>
      <c r="Y35" s="29"/>
      <c r="Z35" s="29"/>
      <c r="AA35" s="67"/>
      <c r="AB35" s="76" t="s">
        <v>33</v>
      </c>
      <c r="AC35" s="67"/>
      <c r="AD35" s="67"/>
      <c r="AE35" s="45"/>
      <c r="AF35" s="45"/>
      <c r="AG35" s="45"/>
      <c r="AH35" s="45"/>
      <c r="AJ35" s="51"/>
      <c r="AK35" s="51"/>
      <c r="AL35" s="51"/>
      <c r="AM35" s="51"/>
      <c r="AN35" s="45"/>
      <c r="AO35" s="97"/>
      <c r="AP35" s="33" t="s">
        <v>3461</v>
      </c>
      <c r="AU35" s="29">
        <v>7.8687732079179007E-2</v>
      </c>
      <c r="AV35" s="227">
        <v>11.277850439411701</v>
      </c>
      <c r="AW35" s="52">
        <v>1.0545082596710422</v>
      </c>
      <c r="AX35" s="52">
        <v>1.2687970104357014</v>
      </c>
      <c r="AY35" s="52">
        <v>1.0274249153322299</v>
      </c>
      <c r="AZ35" s="52">
        <v>1.7659660749757788</v>
      </c>
      <c r="BA35" s="52">
        <v>1.2395127765342016</v>
      </c>
      <c r="BB35" s="52">
        <v>0.73069079567460105</v>
      </c>
      <c r="BC35" s="52">
        <v>1.1398158509047933</v>
      </c>
      <c r="BD35" s="52">
        <v>1.1386259771506446</v>
      </c>
      <c r="BE35" s="2">
        <v>3.3382017769098299E-4</v>
      </c>
      <c r="BF35" s="45">
        <v>0.87</v>
      </c>
      <c r="BG35" s="2" t="s">
        <v>489</v>
      </c>
      <c r="BH35" s="2">
        <v>1.99</v>
      </c>
      <c r="BI35" s="2">
        <v>0</v>
      </c>
      <c r="BJ35" s="2">
        <v>9</v>
      </c>
      <c r="BK35" s="2">
        <v>0.87</v>
      </c>
      <c r="BL35" s="2">
        <v>0</v>
      </c>
      <c r="BM35" s="1" t="s">
        <v>555</v>
      </c>
      <c r="BN35" s="29" t="s">
        <v>513</v>
      </c>
      <c r="BO35" s="29" t="s">
        <v>514</v>
      </c>
      <c r="BP35" s="29">
        <v>31</v>
      </c>
      <c r="BQ35" s="29">
        <v>0</v>
      </c>
      <c r="BR35" s="225" t="s">
        <v>493</v>
      </c>
      <c r="BS35" s="29" t="s">
        <v>568</v>
      </c>
      <c r="BT35" s="29" t="s">
        <v>495</v>
      </c>
      <c r="BU35" s="45" t="s">
        <v>551</v>
      </c>
      <c r="BV35" s="45" t="s">
        <v>528</v>
      </c>
      <c r="BW35" s="29" t="s">
        <v>497</v>
      </c>
      <c r="BX35" s="29" t="s">
        <v>581</v>
      </c>
      <c r="BY35" s="29">
        <v>0</v>
      </c>
      <c r="BZ35" s="29" t="s">
        <v>499</v>
      </c>
      <c r="CA35" s="29">
        <v>104</v>
      </c>
      <c r="CB35" s="2">
        <v>0.4</v>
      </c>
      <c r="CC35" s="2" t="s">
        <v>500</v>
      </c>
      <c r="CD35" s="29" t="s">
        <v>519</v>
      </c>
      <c r="CE35" s="29" t="s">
        <v>502</v>
      </c>
      <c r="CF35" s="29" t="s">
        <v>519</v>
      </c>
      <c r="CG35" s="29" t="s">
        <v>503</v>
      </c>
      <c r="CH35" s="29" t="s">
        <v>534</v>
      </c>
      <c r="CI35" s="29" t="s">
        <v>501</v>
      </c>
      <c r="CJ35" s="4" t="s">
        <v>582</v>
      </c>
      <c r="CK35" s="29">
        <v>2</v>
      </c>
      <c r="CL35" s="29">
        <v>0.55000000000000004</v>
      </c>
      <c r="CM35" s="29" t="s">
        <v>552</v>
      </c>
      <c r="CN35" s="29" t="s">
        <v>507</v>
      </c>
      <c r="CO35" s="29" t="s">
        <v>508</v>
      </c>
      <c r="CP35" s="29" t="s">
        <v>509</v>
      </c>
      <c r="CQ35" s="29" t="s">
        <v>548</v>
      </c>
      <c r="CR35" s="29" t="s">
        <v>524</v>
      </c>
      <c r="CS35" s="29" t="s">
        <v>509</v>
      </c>
      <c r="CT35" s="55" t="s">
        <v>511</v>
      </c>
      <c r="CU35" s="47">
        <v>1</v>
      </c>
      <c r="CV35" s="56">
        <v>1</v>
      </c>
      <c r="CW35" s="47">
        <v>1</v>
      </c>
      <c r="CX35" s="47">
        <v>1</v>
      </c>
      <c r="CY35" s="2">
        <v>0</v>
      </c>
      <c r="CZ35" s="2">
        <v>0</v>
      </c>
      <c r="DA35" s="47">
        <v>1</v>
      </c>
      <c r="DB35" s="2">
        <v>0</v>
      </c>
      <c r="DC35" s="2">
        <v>0</v>
      </c>
      <c r="DD35" s="47">
        <v>1</v>
      </c>
      <c r="DE35" s="225">
        <v>0</v>
      </c>
      <c r="DF35" s="2">
        <v>0</v>
      </c>
      <c r="DG35" s="2">
        <v>0</v>
      </c>
      <c r="DH35" s="2">
        <v>0</v>
      </c>
      <c r="DI35" s="2">
        <v>0</v>
      </c>
      <c r="DJ35" s="225">
        <v>0</v>
      </c>
      <c r="DK35" s="2">
        <v>0</v>
      </c>
      <c r="DL35" s="2">
        <v>0</v>
      </c>
      <c r="DM35" s="2">
        <v>0</v>
      </c>
      <c r="DN35" s="2">
        <v>0</v>
      </c>
      <c r="DO35" s="225">
        <v>0</v>
      </c>
      <c r="DP35" s="2">
        <v>0</v>
      </c>
      <c r="DQ35" s="2">
        <v>0</v>
      </c>
      <c r="DR35" s="227">
        <v>0</v>
      </c>
      <c r="DS35" s="57">
        <v>1.10870469965975E-2</v>
      </c>
      <c r="DT35" s="60">
        <v>0.115168264434864</v>
      </c>
      <c r="DU35" s="57">
        <v>3.9076517741627598E-2</v>
      </c>
      <c r="DV35" s="57">
        <v>2.7458514227977401E-2</v>
      </c>
      <c r="DW35" s="59">
        <v>0.171730569397685</v>
      </c>
      <c r="DX35" s="60">
        <v>0.11022216064307901</v>
      </c>
      <c r="DY35" s="227">
        <v>0</v>
      </c>
      <c r="DZ35">
        <v>0</v>
      </c>
      <c r="EA35" s="227">
        <v>0</v>
      </c>
      <c r="EB35" s="57">
        <v>5.3511139298455399E-2</v>
      </c>
      <c r="EC35" s="57">
        <v>5.9123232022203702E-2</v>
      </c>
      <c r="ED35" s="61">
        <v>0</v>
      </c>
      <c r="EE35" s="60">
        <v>0.12652226540740799</v>
      </c>
      <c r="EF35" s="57">
        <v>8.9184739046337495E-3</v>
      </c>
      <c r="EG35" s="227">
        <v>0</v>
      </c>
      <c r="EH35" s="57">
        <v>7.9891635016435397E-2</v>
      </c>
      <c r="EI35" s="57">
        <v>5.0719274839012098E-2</v>
      </c>
      <c r="EJ35" s="57">
        <v>4.79140181756511E-2</v>
      </c>
      <c r="EK35" s="61">
        <v>0</v>
      </c>
      <c r="EL35" s="57">
        <v>9.8656887894370895E-2</v>
      </c>
    </row>
    <row r="36" spans="1:142" x14ac:dyDescent="0.25">
      <c r="A36" s="45" t="s">
        <v>30</v>
      </c>
      <c r="B36" s="45" t="s">
        <v>486</v>
      </c>
      <c r="C36" s="45">
        <v>1</v>
      </c>
      <c r="D36" s="45">
        <v>1</v>
      </c>
      <c r="E36" s="45">
        <v>1</v>
      </c>
      <c r="F36" s="45">
        <v>1</v>
      </c>
      <c r="G36" s="45">
        <v>1</v>
      </c>
      <c r="H36" s="45">
        <v>1</v>
      </c>
      <c r="I36" s="45">
        <v>2</v>
      </c>
      <c r="J36" s="225" t="s">
        <v>27</v>
      </c>
      <c r="K36" s="56" t="s">
        <v>539</v>
      </c>
      <c r="L36" s="74">
        <v>3</v>
      </c>
      <c r="M36" s="74">
        <v>3</v>
      </c>
      <c r="N36" s="75">
        <v>3</v>
      </c>
      <c r="O36" s="197">
        <v>2</v>
      </c>
      <c r="P36" s="197">
        <v>1</v>
      </c>
      <c r="Q36" s="49">
        <v>0</v>
      </c>
      <c r="R36" s="49">
        <v>0</v>
      </c>
      <c r="S36" s="197">
        <v>4</v>
      </c>
      <c r="T36" s="50" t="s">
        <v>488</v>
      </c>
      <c r="U36" s="2">
        <v>47</v>
      </c>
      <c r="V36" s="2">
        <v>40</v>
      </c>
      <c r="W36" s="5">
        <v>31</v>
      </c>
      <c r="X36" s="96" t="s">
        <v>588</v>
      </c>
      <c r="Y36" s="29"/>
      <c r="Z36" s="29"/>
      <c r="AA36" s="67"/>
      <c r="AB36" s="67"/>
      <c r="AC36" s="67"/>
      <c r="AD36" s="67"/>
      <c r="AE36" s="67"/>
      <c r="AF36" s="45"/>
      <c r="AG36" s="45"/>
      <c r="AH36" s="51"/>
      <c r="AI36" s="51"/>
      <c r="AJ36" s="51"/>
      <c r="AK36" s="51"/>
      <c r="AL36" s="51"/>
      <c r="AM36" s="51"/>
      <c r="AN36" s="51"/>
      <c r="AO36" s="51"/>
      <c r="AU36" s="29">
        <v>0.13588234245609901</v>
      </c>
      <c r="AV36" s="227">
        <v>7.95300704435419</v>
      </c>
      <c r="AW36" s="52">
        <v>0.92244853673615634</v>
      </c>
      <c r="AX36" s="52">
        <v>0.83130284254015974</v>
      </c>
      <c r="AY36" s="52">
        <v>0.61281060579206692</v>
      </c>
      <c r="AZ36" s="52">
        <v>1.7740753082029179</v>
      </c>
      <c r="BA36" s="52">
        <v>0.16396399712860535</v>
      </c>
      <c r="BB36" s="52">
        <v>1.0248560421618571</v>
      </c>
      <c r="BC36" s="52">
        <v>0.84174935918636495</v>
      </c>
      <c r="BD36" s="52">
        <v>1.3831414429131679</v>
      </c>
      <c r="BE36" s="2">
        <v>5.7072127204635999E-4</v>
      </c>
      <c r="BF36" s="65">
        <v>0.67</v>
      </c>
      <c r="BG36" s="2" t="s">
        <v>489</v>
      </c>
      <c r="BH36" s="2">
        <v>2.12</v>
      </c>
      <c r="BI36" s="2">
        <v>0</v>
      </c>
      <c r="BJ36" s="2">
        <v>13</v>
      </c>
      <c r="BK36" s="2">
        <v>0.68</v>
      </c>
      <c r="BL36" s="2">
        <v>0</v>
      </c>
      <c r="BM36" s="1" t="s">
        <v>555</v>
      </c>
      <c r="BN36" s="29" t="s">
        <v>513</v>
      </c>
      <c r="BO36" s="29" t="s">
        <v>514</v>
      </c>
      <c r="BP36" s="29">
        <v>29</v>
      </c>
      <c r="BQ36" s="29">
        <v>0</v>
      </c>
      <c r="BR36" s="225" t="s">
        <v>493</v>
      </c>
      <c r="BS36" s="29" t="s">
        <v>568</v>
      </c>
      <c r="BT36" s="29" t="s">
        <v>550</v>
      </c>
      <c r="BU36" s="45" t="s">
        <v>542</v>
      </c>
      <c r="BV36" s="45" t="s">
        <v>496</v>
      </c>
      <c r="BW36" s="29" t="s">
        <v>497</v>
      </c>
      <c r="BX36" s="29" t="s">
        <v>517</v>
      </c>
      <c r="BY36" s="29">
        <v>0</v>
      </c>
      <c r="BZ36" s="29">
        <v>1.6</v>
      </c>
      <c r="CA36" s="29">
        <v>495</v>
      </c>
      <c r="CB36" s="2">
        <v>0.5</v>
      </c>
      <c r="CC36" s="2" t="s">
        <v>518</v>
      </c>
      <c r="CD36" s="29" t="s">
        <v>519</v>
      </c>
      <c r="CE36" s="29" t="s">
        <v>502</v>
      </c>
      <c r="CF36" s="29" t="s">
        <v>501</v>
      </c>
      <c r="CG36" s="29" t="s">
        <v>533</v>
      </c>
      <c r="CH36" s="29" t="s">
        <v>534</v>
      </c>
      <c r="CI36" s="29" t="s">
        <v>535</v>
      </c>
      <c r="CJ36" s="4">
        <v>1614</v>
      </c>
      <c r="CK36" s="29">
        <v>1</v>
      </c>
      <c r="CL36" s="29">
        <v>1</v>
      </c>
      <c r="CM36" s="29" t="s">
        <v>506</v>
      </c>
      <c r="CN36" s="29" t="s">
        <v>509</v>
      </c>
      <c r="CO36" s="29" t="s">
        <v>509</v>
      </c>
      <c r="CP36" s="29" t="s">
        <v>509</v>
      </c>
      <c r="CQ36" s="29" t="s">
        <v>572</v>
      </c>
      <c r="CR36" s="29">
        <v>0</v>
      </c>
      <c r="CS36" s="29" t="s">
        <v>509</v>
      </c>
      <c r="CT36" s="29" t="s">
        <v>509</v>
      </c>
      <c r="CU36" s="47">
        <v>1</v>
      </c>
      <c r="CV36" s="56">
        <v>1</v>
      </c>
      <c r="CW36" s="47">
        <v>1</v>
      </c>
      <c r="CX36" s="225">
        <v>0</v>
      </c>
      <c r="CY36" s="56">
        <v>1</v>
      </c>
      <c r="CZ36" s="225">
        <v>0</v>
      </c>
      <c r="DA36" s="47">
        <v>1</v>
      </c>
      <c r="DB36" s="225">
        <v>0</v>
      </c>
      <c r="DC36" s="56">
        <v>1</v>
      </c>
      <c r="DD36" s="225">
        <v>0</v>
      </c>
      <c r="DE36" s="225">
        <v>0</v>
      </c>
      <c r="DF36" s="56">
        <v>1</v>
      </c>
      <c r="DG36" s="2">
        <v>0</v>
      </c>
      <c r="DH36" s="225">
        <v>0</v>
      </c>
      <c r="DI36" s="47">
        <v>1</v>
      </c>
      <c r="DJ36" s="225">
        <v>0</v>
      </c>
      <c r="DK36" s="2">
        <v>0</v>
      </c>
      <c r="DL36" s="225">
        <v>0</v>
      </c>
      <c r="DM36" s="225">
        <v>0</v>
      </c>
      <c r="DN36" s="225">
        <v>0</v>
      </c>
      <c r="DO36" s="47">
        <v>1</v>
      </c>
      <c r="DP36" s="2">
        <v>0</v>
      </c>
      <c r="DQ36" s="225">
        <v>0</v>
      </c>
      <c r="DR36" s="227">
        <v>0</v>
      </c>
      <c r="DS36" s="227">
        <v>0</v>
      </c>
      <c r="DT36" s="57">
        <v>2.4502817595992401E-2</v>
      </c>
      <c r="DU36" s="57">
        <v>5.4375791945724498E-2</v>
      </c>
      <c r="DV36" s="57">
        <v>8.9756561421953596E-2</v>
      </c>
      <c r="DW36" s="59">
        <v>0.180251647240604</v>
      </c>
      <c r="DX36" s="57">
        <v>1.7248764833072899E-2</v>
      </c>
      <c r="DY36" s="58">
        <v>0.18675504999909201</v>
      </c>
      <c r="DZ36" s="227">
        <v>0</v>
      </c>
      <c r="EA36" s="60">
        <v>0.103010103239928</v>
      </c>
      <c r="EB36" s="57">
        <v>1.31556840026665E-2</v>
      </c>
      <c r="EC36" s="227">
        <v>0</v>
      </c>
      <c r="ED36" s="57">
        <v>1.9653412055829999E-2</v>
      </c>
      <c r="EE36" s="57">
        <v>5.2752823240659899E-2</v>
      </c>
      <c r="EF36" s="57">
        <v>4.6172432524412402E-2</v>
      </c>
      <c r="EG36" s="57">
        <v>3.0108471501290299E-2</v>
      </c>
      <c r="EH36" s="57">
        <v>2.2426581545909801E-2</v>
      </c>
      <c r="EI36" s="227">
        <v>0</v>
      </c>
      <c r="EJ36" s="57">
        <v>2.16148033963585E-2</v>
      </c>
      <c r="EK36" s="60">
        <v>0.113279633897933</v>
      </c>
      <c r="EL36" s="57">
        <v>2.49354215585719E-2</v>
      </c>
    </row>
    <row r="37" spans="1:142" x14ac:dyDescent="0.25">
      <c r="A37" s="45" t="s">
        <v>65</v>
      </c>
      <c r="B37" s="29" t="s">
        <v>486</v>
      </c>
      <c r="C37" s="29">
        <v>1</v>
      </c>
      <c r="D37" s="29">
        <v>1</v>
      </c>
      <c r="E37" s="29">
        <v>1</v>
      </c>
      <c r="F37" s="29">
        <v>1</v>
      </c>
      <c r="G37" s="29">
        <v>1</v>
      </c>
      <c r="H37" s="29">
        <v>1</v>
      </c>
      <c r="I37" s="45">
        <v>1</v>
      </c>
      <c r="J37" s="225" t="s">
        <v>27</v>
      </c>
      <c r="K37" s="56" t="s">
        <v>539</v>
      </c>
      <c r="L37" s="74">
        <v>3</v>
      </c>
      <c r="M37" s="74">
        <v>3</v>
      </c>
      <c r="N37" s="48">
        <v>1</v>
      </c>
      <c r="O37" s="197">
        <v>2</v>
      </c>
      <c r="P37" s="197">
        <v>1</v>
      </c>
      <c r="Q37" s="49">
        <v>0</v>
      </c>
      <c r="R37" s="49">
        <v>0</v>
      </c>
      <c r="S37" s="197">
        <v>4</v>
      </c>
      <c r="T37" s="50" t="s">
        <v>488</v>
      </c>
      <c r="U37" s="2">
        <v>61</v>
      </c>
      <c r="V37" s="2">
        <v>53</v>
      </c>
      <c r="W37" s="5">
        <v>45</v>
      </c>
      <c r="X37" s="29"/>
      <c r="Y37" s="29"/>
      <c r="Z37" s="29"/>
      <c r="AA37" s="67"/>
      <c r="AB37" s="76" t="s">
        <v>33</v>
      </c>
      <c r="AC37" s="67"/>
      <c r="AD37" s="67"/>
      <c r="AE37" s="98"/>
      <c r="AF37" s="97"/>
      <c r="AG37" s="45"/>
      <c r="AH37" s="51"/>
      <c r="AI37" s="51"/>
      <c r="AJ37" s="51"/>
      <c r="AK37" s="51"/>
      <c r="AL37" s="51"/>
      <c r="AM37" s="51"/>
      <c r="AN37" s="51"/>
      <c r="AO37" s="51"/>
      <c r="AU37" s="29">
        <v>0.26298307901169499</v>
      </c>
      <c r="AV37" s="227">
        <v>3.45639919536801</v>
      </c>
      <c r="AW37" s="52">
        <v>0.81492959945585453</v>
      </c>
      <c r="AX37" s="52">
        <v>0.87369577992402891</v>
      </c>
      <c r="AY37" s="52">
        <v>0.86988417105521287</v>
      </c>
      <c r="AZ37" s="52">
        <v>1.1973039904986693</v>
      </c>
      <c r="BA37" s="52">
        <v>185.29970869435314</v>
      </c>
      <c r="BB37" s="52">
        <v>0.98430069298993028</v>
      </c>
      <c r="BC37" s="52">
        <v>0.77290363729547296</v>
      </c>
      <c r="BD37" s="52">
        <v>1.5913817902905383</v>
      </c>
      <c r="BE37" s="2">
        <v>7.9881456250212096E-4</v>
      </c>
      <c r="BF37" s="78">
        <v>0.47</v>
      </c>
      <c r="BG37" s="2" t="s">
        <v>489</v>
      </c>
      <c r="BH37" s="2">
        <v>3.09</v>
      </c>
      <c r="BI37" s="2">
        <v>1</v>
      </c>
      <c r="BJ37" s="225">
        <v>25</v>
      </c>
      <c r="BK37" s="225">
        <v>0.56999999999999995</v>
      </c>
      <c r="BL37" s="225">
        <v>0.01</v>
      </c>
      <c r="BM37" s="1" t="s">
        <v>555</v>
      </c>
      <c r="BN37" s="29" t="s">
        <v>513</v>
      </c>
      <c r="BO37" s="29" t="s">
        <v>492</v>
      </c>
      <c r="BP37" s="29">
        <v>71</v>
      </c>
      <c r="BQ37" s="29">
        <v>0</v>
      </c>
      <c r="BR37" s="2" t="s">
        <v>493</v>
      </c>
      <c r="BS37" s="29" t="s">
        <v>568</v>
      </c>
      <c r="BT37" s="29" t="s">
        <v>495</v>
      </c>
      <c r="BU37" s="45" t="s">
        <v>4</v>
      </c>
      <c r="BV37" s="45" t="s">
        <v>496</v>
      </c>
      <c r="BW37" s="29" t="s">
        <v>497</v>
      </c>
      <c r="BX37" s="29" t="s">
        <v>498</v>
      </c>
      <c r="BY37" s="29">
        <v>1</v>
      </c>
      <c r="BZ37" s="29">
        <v>4.4000000000000004</v>
      </c>
      <c r="CA37" s="29">
        <v>18</v>
      </c>
      <c r="CB37" s="2">
        <v>0.6</v>
      </c>
      <c r="CC37" s="2" t="s">
        <v>500</v>
      </c>
      <c r="CD37" s="29" t="s">
        <v>519</v>
      </c>
      <c r="CE37" s="29" t="s">
        <v>502</v>
      </c>
      <c r="CF37" s="29" t="s">
        <v>519</v>
      </c>
      <c r="CG37" s="29" t="s">
        <v>533</v>
      </c>
      <c r="CH37" s="29" t="s">
        <v>534</v>
      </c>
      <c r="CI37" s="29" t="s">
        <v>535</v>
      </c>
      <c r="CJ37" s="220">
        <v>10</v>
      </c>
      <c r="CK37" s="29">
        <v>4</v>
      </c>
      <c r="CL37" s="29">
        <v>0</v>
      </c>
      <c r="CM37" s="29" t="s">
        <v>552</v>
      </c>
      <c r="CN37" s="29" t="s">
        <v>523</v>
      </c>
      <c r="CO37" s="29" t="s">
        <v>508</v>
      </c>
      <c r="CP37" s="29" t="s">
        <v>590</v>
      </c>
      <c r="CQ37" s="29" t="s">
        <v>548</v>
      </c>
      <c r="CR37" s="29" t="s">
        <v>524</v>
      </c>
      <c r="CS37" s="29" t="s">
        <v>509</v>
      </c>
      <c r="CT37" s="55" t="s">
        <v>511</v>
      </c>
      <c r="CU37" s="47">
        <v>1</v>
      </c>
      <c r="CV37" s="56">
        <v>1</v>
      </c>
      <c r="CW37" s="47">
        <v>1</v>
      </c>
      <c r="CX37" s="47">
        <v>1</v>
      </c>
      <c r="CY37" s="56">
        <v>1</v>
      </c>
      <c r="CZ37" s="56">
        <v>1</v>
      </c>
      <c r="DA37" s="47">
        <v>1</v>
      </c>
      <c r="DB37" s="47">
        <v>1</v>
      </c>
      <c r="DC37" s="56">
        <v>1</v>
      </c>
      <c r="DD37" s="225">
        <v>0</v>
      </c>
      <c r="DE37" s="225">
        <v>0</v>
      </c>
      <c r="DF37" s="56">
        <v>1</v>
      </c>
      <c r="DG37" s="47">
        <v>1</v>
      </c>
      <c r="DH37" s="47">
        <v>1</v>
      </c>
      <c r="DI37" s="225">
        <v>0</v>
      </c>
      <c r="DJ37" s="225">
        <v>0</v>
      </c>
      <c r="DK37" s="2">
        <v>0</v>
      </c>
      <c r="DL37" s="225">
        <v>0</v>
      </c>
      <c r="DM37" s="47">
        <v>1</v>
      </c>
      <c r="DN37" s="56">
        <v>1</v>
      </c>
      <c r="DO37" s="225">
        <v>0</v>
      </c>
      <c r="DP37" s="2">
        <v>0</v>
      </c>
      <c r="DQ37" s="56">
        <v>1</v>
      </c>
      <c r="DR37" s="227">
        <v>0</v>
      </c>
      <c r="DS37" s="57">
        <v>7.7035834831813199E-2</v>
      </c>
      <c r="DT37" s="60">
        <v>0.14608110262973101</v>
      </c>
      <c r="DU37" s="57">
        <v>1.4920624618364299E-2</v>
      </c>
      <c r="DV37" s="57">
        <v>7.5474682445500096E-2</v>
      </c>
      <c r="DW37" s="59">
        <v>0.178661860634345</v>
      </c>
      <c r="DX37" s="227">
        <v>0</v>
      </c>
      <c r="DY37" s="57">
        <v>4.0599972621441098E-2</v>
      </c>
      <c r="DZ37" s="227">
        <v>0</v>
      </c>
      <c r="EA37" s="57">
        <v>3.63606137238731E-2</v>
      </c>
      <c r="EB37" s="57">
        <v>5.8836493718069802E-2</v>
      </c>
      <c r="EC37" s="57">
        <v>8.69351266747449E-2</v>
      </c>
      <c r="ED37" s="57">
        <v>2.9527397510418999E-2</v>
      </c>
      <c r="EE37" s="58">
        <v>0.16953689437681499</v>
      </c>
      <c r="EF37" s="57">
        <v>5.4101051498756401E-2</v>
      </c>
      <c r="EG37" s="57">
        <v>2.1374460158290601E-2</v>
      </c>
      <c r="EH37" s="227">
        <v>0</v>
      </c>
      <c r="EI37" s="57">
        <v>7.7303947937818395E-4</v>
      </c>
      <c r="EJ37" s="61">
        <v>0</v>
      </c>
      <c r="EK37" s="57">
        <v>9.7808450784580992E-3</v>
      </c>
      <c r="EL37" s="61">
        <v>0</v>
      </c>
    </row>
    <row r="38" spans="1:142" x14ac:dyDescent="0.25">
      <c r="A38" s="45" t="s">
        <v>75</v>
      </c>
      <c r="B38" s="29" t="s">
        <v>486</v>
      </c>
      <c r="C38" s="29">
        <v>1</v>
      </c>
      <c r="D38" s="29">
        <v>1</v>
      </c>
      <c r="E38" s="29">
        <v>1</v>
      </c>
      <c r="F38" s="29">
        <v>1</v>
      </c>
      <c r="G38" s="29">
        <v>1</v>
      </c>
      <c r="H38" s="29">
        <v>1</v>
      </c>
      <c r="I38" s="45">
        <v>1</v>
      </c>
      <c r="J38" s="84" t="s">
        <v>78</v>
      </c>
      <c r="K38" s="56" t="s">
        <v>539</v>
      </c>
      <c r="L38" s="87">
        <v>4</v>
      </c>
      <c r="M38" s="74">
        <v>3</v>
      </c>
      <c r="N38" s="48">
        <v>1</v>
      </c>
      <c r="O38" s="197">
        <v>4</v>
      </c>
      <c r="P38" s="197">
        <v>2</v>
      </c>
      <c r="Q38" s="49">
        <v>0</v>
      </c>
      <c r="R38" s="49">
        <v>0</v>
      </c>
      <c r="S38" s="227">
        <v>1</v>
      </c>
      <c r="T38" s="50">
        <v>7</v>
      </c>
      <c r="U38" s="2">
        <v>1208</v>
      </c>
      <c r="V38" s="2">
        <v>883</v>
      </c>
      <c r="W38" s="5">
        <v>698</v>
      </c>
      <c r="X38" s="29"/>
      <c r="Y38" s="29"/>
      <c r="Z38" s="29"/>
      <c r="AA38" s="67"/>
      <c r="AB38" s="76" t="s">
        <v>46</v>
      </c>
      <c r="AC38" s="45"/>
      <c r="AD38" s="100" t="s">
        <v>46</v>
      </c>
      <c r="AE38" s="67"/>
      <c r="AF38" s="45"/>
      <c r="AG38" s="97"/>
      <c r="AH38" s="51"/>
      <c r="AI38" s="83" t="s">
        <v>592</v>
      </c>
      <c r="AJ38" s="51"/>
      <c r="AK38" s="51"/>
      <c r="AL38" s="51" t="s">
        <v>25</v>
      </c>
      <c r="AM38" s="51"/>
      <c r="AN38" s="51"/>
      <c r="AO38" s="51"/>
      <c r="AU38" s="29">
        <v>6.9101655833756798E-2</v>
      </c>
      <c r="AV38" s="227">
        <v>2.9967187535852799</v>
      </c>
      <c r="AW38" s="52">
        <v>0.25336143212954043</v>
      </c>
      <c r="AX38" s="52">
        <v>1.165626607268226</v>
      </c>
      <c r="AY38" s="52">
        <v>1.3770776961731734</v>
      </c>
      <c r="AZ38" s="52">
        <v>0.69738941205121163</v>
      </c>
      <c r="BA38" s="52">
        <v>167.73104880581516</v>
      </c>
      <c r="BB38" s="52">
        <v>0.33883724883662919</v>
      </c>
      <c r="BC38" s="52">
        <v>2.1525241420837622</v>
      </c>
      <c r="BD38" s="52">
        <v>0.7225149863787772</v>
      </c>
      <c r="BE38" s="2">
        <v>4.4593655618822001E-4</v>
      </c>
      <c r="BF38" s="45">
        <v>0.87</v>
      </c>
      <c r="BG38" s="2" t="s">
        <v>489</v>
      </c>
      <c r="BH38" s="2">
        <v>2.1800000000000002</v>
      </c>
      <c r="BI38" s="2">
        <v>0</v>
      </c>
      <c r="BJ38" s="2">
        <v>10</v>
      </c>
      <c r="BK38" s="2">
        <v>0.88</v>
      </c>
      <c r="BL38" s="2">
        <v>0.01</v>
      </c>
      <c r="BM38" s="1" t="s">
        <v>555</v>
      </c>
      <c r="BN38" s="29" t="s">
        <v>513</v>
      </c>
      <c r="BO38" s="29" t="s">
        <v>492</v>
      </c>
      <c r="BP38" s="29">
        <v>81</v>
      </c>
      <c r="BQ38" s="29">
        <v>1</v>
      </c>
      <c r="BR38" s="2" t="s">
        <v>493</v>
      </c>
      <c r="BS38" s="29" t="s">
        <v>2</v>
      </c>
      <c r="BT38" s="29" t="s">
        <v>584</v>
      </c>
      <c r="BU38" s="29" t="s">
        <v>542</v>
      </c>
      <c r="BV38" s="29" t="s">
        <v>496</v>
      </c>
      <c r="BW38" s="29" t="s">
        <v>497</v>
      </c>
      <c r="BX38" s="29" t="s">
        <v>517</v>
      </c>
      <c r="BY38" s="29">
        <v>1</v>
      </c>
      <c r="BZ38" s="29">
        <v>2.7</v>
      </c>
      <c r="CA38" s="29">
        <v>57</v>
      </c>
      <c r="CB38" s="2">
        <v>0.6</v>
      </c>
      <c r="CC38" s="2" t="s">
        <v>500</v>
      </c>
      <c r="CD38" s="29" t="s">
        <v>519</v>
      </c>
      <c r="CE38" s="45" t="s">
        <v>502</v>
      </c>
      <c r="CF38" s="29" t="s">
        <v>519</v>
      </c>
      <c r="CG38" s="29" t="s">
        <v>503</v>
      </c>
      <c r="CH38" s="29" t="s">
        <v>534</v>
      </c>
      <c r="CI38" s="29" t="s">
        <v>535</v>
      </c>
      <c r="CJ38" s="4" t="s">
        <v>593</v>
      </c>
      <c r="CK38" s="29">
        <v>3</v>
      </c>
      <c r="CL38" s="29">
        <v>0.25</v>
      </c>
      <c r="CM38" s="29" t="s">
        <v>552</v>
      </c>
      <c r="CN38" s="29" t="s">
        <v>509</v>
      </c>
      <c r="CO38" s="29" t="s">
        <v>509</v>
      </c>
      <c r="CP38" s="29" t="s">
        <v>509</v>
      </c>
      <c r="CQ38" s="29" t="s">
        <v>548</v>
      </c>
      <c r="CR38" s="29" t="s">
        <v>524</v>
      </c>
      <c r="CS38" s="29" t="s">
        <v>511</v>
      </c>
      <c r="CT38" s="55" t="s">
        <v>511</v>
      </c>
      <c r="CU38" s="225">
        <v>0</v>
      </c>
      <c r="CV38" s="56">
        <v>1</v>
      </c>
      <c r="CW38" s="47">
        <v>1</v>
      </c>
      <c r="CX38" s="47">
        <v>1</v>
      </c>
      <c r="CY38" s="56">
        <v>1</v>
      </c>
      <c r="CZ38" s="56">
        <v>1</v>
      </c>
      <c r="DA38" s="225">
        <v>0</v>
      </c>
      <c r="DB38" s="225">
        <v>0</v>
      </c>
      <c r="DC38" s="225">
        <v>0</v>
      </c>
      <c r="DD38" s="225">
        <v>0</v>
      </c>
      <c r="DE38" s="225">
        <v>0</v>
      </c>
      <c r="DF38" s="225">
        <v>0</v>
      </c>
      <c r="DG38" s="225">
        <v>0</v>
      </c>
      <c r="DH38" s="225">
        <v>0</v>
      </c>
      <c r="DI38" s="2">
        <v>0</v>
      </c>
      <c r="DJ38" s="225">
        <v>0</v>
      </c>
      <c r="DK38" s="2">
        <v>0</v>
      </c>
      <c r="DL38" s="225">
        <v>0</v>
      </c>
      <c r="DM38" s="225">
        <v>0</v>
      </c>
      <c r="DN38" s="225">
        <v>0</v>
      </c>
      <c r="DO38" s="47">
        <v>1</v>
      </c>
      <c r="DP38" s="2">
        <v>0</v>
      </c>
      <c r="DQ38" s="225">
        <v>0</v>
      </c>
      <c r="DR38" s="227">
        <v>0</v>
      </c>
      <c r="DS38" s="227">
        <v>0</v>
      </c>
      <c r="DT38" s="227">
        <v>0</v>
      </c>
      <c r="DU38" s="57">
        <v>1.5539934317498699E-2</v>
      </c>
      <c r="DV38" s="57">
        <v>7.5081941057762003E-2</v>
      </c>
      <c r="DW38" s="66">
        <v>3.0568901493060002E-2</v>
      </c>
      <c r="DX38" s="73">
        <v>0.42468406135716702</v>
      </c>
      <c r="DY38" s="57">
        <v>4.4703080708504199E-2</v>
      </c>
      <c r="DZ38" s="57">
        <v>1.8814694506822799E-2</v>
      </c>
      <c r="EA38" s="57">
        <v>2.2119456106677898E-2</v>
      </c>
      <c r="EB38" s="57">
        <v>1.0253491149887099E-2</v>
      </c>
      <c r="EC38" s="60">
        <v>9.9888813410303298E-2</v>
      </c>
      <c r="ED38" s="57">
        <v>2.56140010786008E-2</v>
      </c>
      <c r="EE38" s="57">
        <v>1.7969971121999901E-2</v>
      </c>
      <c r="EF38" s="57">
        <v>2.9604115755923099E-2</v>
      </c>
      <c r="EG38" s="57">
        <v>2.8389675743708102E-2</v>
      </c>
      <c r="EH38" s="57">
        <v>2.6189954216769801E-2</v>
      </c>
      <c r="EI38" s="57">
        <v>7.6156404053336596E-2</v>
      </c>
      <c r="EJ38" s="57">
        <v>1.43195437149872E-2</v>
      </c>
      <c r="EK38" s="57">
        <v>1.36346023625187E-2</v>
      </c>
      <c r="EL38" s="57">
        <v>2.6467357844473301E-2</v>
      </c>
    </row>
    <row r="39" spans="1:142" x14ac:dyDescent="0.25">
      <c r="A39" s="45" t="s">
        <v>32</v>
      </c>
      <c r="B39" s="29" t="s">
        <v>486</v>
      </c>
      <c r="C39" s="29">
        <v>1</v>
      </c>
      <c r="D39" s="29">
        <v>1</v>
      </c>
      <c r="E39" s="29">
        <v>1</v>
      </c>
      <c r="F39" s="29">
        <v>1</v>
      </c>
      <c r="G39" s="29">
        <v>1</v>
      </c>
      <c r="H39" s="29">
        <v>1</v>
      </c>
      <c r="I39" s="45">
        <v>2</v>
      </c>
      <c r="J39" s="225" t="s">
        <v>27</v>
      </c>
      <c r="K39" s="56" t="s">
        <v>539</v>
      </c>
      <c r="L39" s="74">
        <v>3</v>
      </c>
      <c r="M39" s="74">
        <v>3</v>
      </c>
      <c r="N39" s="75">
        <v>3</v>
      </c>
      <c r="O39" s="197">
        <v>3</v>
      </c>
      <c r="P39" s="197">
        <v>1</v>
      </c>
      <c r="Q39" s="49">
        <v>0</v>
      </c>
      <c r="R39" s="49">
        <v>0</v>
      </c>
      <c r="S39" s="197">
        <v>3</v>
      </c>
      <c r="T39" s="50" t="s">
        <v>488</v>
      </c>
      <c r="U39" s="2">
        <v>61</v>
      </c>
      <c r="V39" s="2">
        <v>53</v>
      </c>
      <c r="W39" s="5">
        <v>44</v>
      </c>
      <c r="X39" s="96" t="s">
        <v>602</v>
      </c>
      <c r="Y39" s="29"/>
      <c r="Z39" s="29"/>
      <c r="AA39" s="45"/>
      <c r="AB39" s="67"/>
      <c r="AC39" s="81" t="s">
        <v>33</v>
      </c>
      <c r="AD39" s="67"/>
      <c r="AE39" s="67"/>
      <c r="AF39" s="67"/>
      <c r="AG39" s="51"/>
      <c r="AH39" s="51"/>
      <c r="AI39" s="51"/>
      <c r="AJ39" s="83" t="s">
        <v>603</v>
      </c>
      <c r="AK39" s="51"/>
      <c r="AL39" s="51"/>
      <c r="AM39" s="51"/>
      <c r="AN39" s="51"/>
      <c r="AO39" s="51"/>
      <c r="AU39" s="29">
        <v>0.136839839443572</v>
      </c>
      <c r="AV39" s="227">
        <v>8.7538147357793505</v>
      </c>
      <c r="AW39" s="52">
        <v>0.57844894008424985</v>
      </c>
      <c r="AX39" s="52">
        <v>0.95429403320517259</v>
      </c>
      <c r="AY39" s="52">
        <v>0.85863679999999998</v>
      </c>
      <c r="AZ39" s="52">
        <v>1.7490474411552717</v>
      </c>
      <c r="BA39" s="52">
        <v>0.37196992879177593</v>
      </c>
      <c r="BB39" s="52">
        <v>1.5294229410130595</v>
      </c>
      <c r="BC39" s="52">
        <v>0.72372618068868222</v>
      </c>
      <c r="BD39" s="52">
        <v>1.5220763580205317</v>
      </c>
      <c r="BE39" s="2">
        <v>5.1578115531251999E-4</v>
      </c>
      <c r="BF39" s="45">
        <v>0.8</v>
      </c>
      <c r="BG39" s="2" t="s">
        <v>489</v>
      </c>
      <c r="BH39" s="2">
        <v>2.0499999999999998</v>
      </c>
      <c r="BI39" s="2">
        <v>0</v>
      </c>
      <c r="BJ39" s="2">
        <v>10</v>
      </c>
      <c r="BK39" s="2">
        <v>0.8</v>
      </c>
      <c r="BL39" s="2">
        <v>0.04</v>
      </c>
      <c r="BM39" s="1" t="s">
        <v>555</v>
      </c>
      <c r="BN39" s="29" t="s">
        <v>513</v>
      </c>
      <c r="BO39" s="29" t="s">
        <v>514</v>
      </c>
      <c r="BP39" s="29">
        <v>74</v>
      </c>
      <c r="BQ39" s="29">
        <v>1</v>
      </c>
      <c r="BR39" s="225" t="s">
        <v>493</v>
      </c>
      <c r="BS39" s="29" t="s">
        <v>494</v>
      </c>
      <c r="BT39" s="29" t="s">
        <v>550</v>
      </c>
      <c r="BU39" s="29" t="s">
        <v>5</v>
      </c>
      <c r="BV39" s="29" t="s">
        <v>528</v>
      </c>
      <c r="BW39" s="29" t="s">
        <v>497</v>
      </c>
      <c r="BX39" s="29" t="s">
        <v>581</v>
      </c>
      <c r="BY39" s="29">
        <v>1</v>
      </c>
      <c r="BZ39" s="29" t="s">
        <v>499</v>
      </c>
      <c r="CA39" s="29">
        <v>6910</v>
      </c>
      <c r="CB39" s="2">
        <v>0.7</v>
      </c>
      <c r="CC39" s="2" t="s">
        <v>499</v>
      </c>
      <c r="CD39" s="29" t="s">
        <v>499</v>
      </c>
      <c r="CE39" s="55" t="s">
        <v>544</v>
      </c>
      <c r="CF39" s="29" t="s">
        <v>519</v>
      </c>
      <c r="CG39" s="29" t="s">
        <v>503</v>
      </c>
      <c r="CH39" s="55" t="s">
        <v>360</v>
      </c>
      <c r="CI39" s="29" t="s">
        <v>501</v>
      </c>
      <c r="CJ39" s="4" t="s">
        <v>604</v>
      </c>
      <c r="CK39" s="29">
        <v>2</v>
      </c>
      <c r="CL39" s="29">
        <v>0.9</v>
      </c>
      <c r="CM39" s="29" t="s">
        <v>605</v>
      </c>
      <c r="CN39" s="29" t="s">
        <v>509</v>
      </c>
      <c r="CO39" s="29" t="s">
        <v>509</v>
      </c>
      <c r="CP39" s="29" t="s">
        <v>509</v>
      </c>
      <c r="CQ39" s="29" t="s">
        <v>510</v>
      </c>
      <c r="CR39" s="29" t="s">
        <v>566</v>
      </c>
      <c r="CS39" s="29" t="s">
        <v>509</v>
      </c>
      <c r="CT39" s="29" t="s">
        <v>509</v>
      </c>
      <c r="CU39" s="47">
        <v>1</v>
      </c>
      <c r="CV39" s="56">
        <v>1</v>
      </c>
      <c r="CW39" s="47">
        <v>1</v>
      </c>
      <c r="CX39" s="225">
        <v>0</v>
      </c>
      <c r="CY39" s="225">
        <v>0</v>
      </c>
      <c r="CZ39" s="225">
        <v>0</v>
      </c>
      <c r="DA39" s="225">
        <v>0</v>
      </c>
      <c r="DB39" s="225">
        <v>0</v>
      </c>
      <c r="DC39" s="56">
        <v>1</v>
      </c>
      <c r="DD39" s="2">
        <v>0</v>
      </c>
      <c r="DE39" s="47">
        <v>1</v>
      </c>
      <c r="DF39" s="225">
        <v>0</v>
      </c>
      <c r="DG39" s="225">
        <v>0</v>
      </c>
      <c r="DH39" s="225">
        <v>0</v>
      </c>
      <c r="DI39" s="47">
        <v>1</v>
      </c>
      <c r="DJ39" s="225">
        <v>0</v>
      </c>
      <c r="DK39" s="2">
        <v>0</v>
      </c>
      <c r="DL39" s="2">
        <v>0</v>
      </c>
      <c r="DM39" s="47">
        <v>1</v>
      </c>
      <c r="DN39" s="225">
        <v>0</v>
      </c>
      <c r="DO39" s="2">
        <v>0</v>
      </c>
      <c r="DP39" s="2">
        <v>0</v>
      </c>
      <c r="DQ39" s="225">
        <v>0</v>
      </c>
      <c r="DR39" s="58">
        <v>0.165716702293533</v>
      </c>
      <c r="DS39" s="57">
        <v>2.4370284431244501E-2</v>
      </c>
      <c r="DT39" s="227">
        <v>0</v>
      </c>
      <c r="DU39" s="57">
        <v>2.9837909769482099E-2</v>
      </c>
      <c r="DV39" s="57">
        <v>2.2430305634362002E-2</v>
      </c>
      <c r="DW39" s="66">
        <v>7.3852320543209005E-2</v>
      </c>
      <c r="DX39" s="227">
        <v>0</v>
      </c>
      <c r="DY39" s="57">
        <v>5.9296816868647198E-2</v>
      </c>
      <c r="DZ39" s="57">
        <v>3.4572334472287199E-2</v>
      </c>
      <c r="EA39" s="60">
        <v>0.103347889030641</v>
      </c>
      <c r="EB39" s="57">
        <v>5.6169568800521798E-2</v>
      </c>
      <c r="EC39" s="60">
        <v>0.11674560031228701</v>
      </c>
      <c r="ED39" s="57">
        <v>5.82797586721484E-2</v>
      </c>
      <c r="EE39" s="227">
        <v>0</v>
      </c>
      <c r="EF39" s="57">
        <v>2.2519699801459701E-2</v>
      </c>
      <c r="EG39" s="57">
        <v>3.9691961175294201E-2</v>
      </c>
      <c r="EH39" s="57">
        <v>2.8953883026943499E-2</v>
      </c>
      <c r="EI39" s="58">
        <v>0.14958096086943901</v>
      </c>
      <c r="EJ39" s="57">
        <v>1.46340042985008E-2</v>
      </c>
      <c r="EK39" s="227">
        <v>0</v>
      </c>
      <c r="EL39" s="227">
        <v>0</v>
      </c>
    </row>
    <row r="40" spans="1:142" x14ac:dyDescent="0.25">
      <c r="A40" s="45" t="s">
        <v>52</v>
      </c>
      <c r="B40" s="29" t="s">
        <v>486</v>
      </c>
      <c r="C40" s="29">
        <v>1</v>
      </c>
      <c r="D40" s="29">
        <v>1</v>
      </c>
      <c r="E40" s="29">
        <v>1</v>
      </c>
      <c r="F40" s="29">
        <v>1</v>
      </c>
      <c r="G40" s="29">
        <v>1</v>
      </c>
      <c r="H40" s="29">
        <v>1</v>
      </c>
      <c r="I40" s="45">
        <v>2</v>
      </c>
      <c r="J40" s="225" t="s">
        <v>27</v>
      </c>
      <c r="K40" s="56" t="s">
        <v>539</v>
      </c>
      <c r="L40" s="74">
        <v>3</v>
      </c>
      <c r="M40" s="62">
        <v>2</v>
      </c>
      <c r="N40" s="48">
        <v>1</v>
      </c>
      <c r="O40" s="197">
        <v>2</v>
      </c>
      <c r="P40" s="197">
        <v>4</v>
      </c>
      <c r="Q40" s="49">
        <v>0</v>
      </c>
      <c r="R40" s="49">
        <v>0</v>
      </c>
      <c r="S40" s="197">
        <v>2</v>
      </c>
      <c r="T40" s="50" t="s">
        <v>488</v>
      </c>
      <c r="U40" s="2">
        <v>84</v>
      </c>
      <c r="V40" s="2">
        <v>76</v>
      </c>
      <c r="W40" s="5">
        <v>60</v>
      </c>
      <c r="X40" s="29"/>
      <c r="Y40" s="29"/>
      <c r="Z40" s="29"/>
      <c r="AA40" s="67"/>
      <c r="AB40" s="76" t="s">
        <v>46</v>
      </c>
      <c r="AC40" s="67"/>
      <c r="AD40" s="67"/>
      <c r="AE40" s="67"/>
      <c r="AF40" s="67"/>
      <c r="AG40" s="102" t="s">
        <v>606</v>
      </c>
      <c r="AH40" s="51"/>
      <c r="AI40" s="51"/>
      <c r="AJ40" s="51"/>
      <c r="AK40" s="51"/>
      <c r="AL40" s="51"/>
      <c r="AM40" s="51"/>
      <c r="AN40" s="51"/>
      <c r="AO40" s="33" t="s">
        <v>58</v>
      </c>
      <c r="AU40" s="29">
        <v>0.10686295531572799</v>
      </c>
      <c r="AV40" s="227">
        <v>4.5164941908935896</v>
      </c>
      <c r="AW40" s="52">
        <v>0.60408294327851664</v>
      </c>
      <c r="AX40" s="52">
        <v>1.0476612434524295</v>
      </c>
      <c r="AY40" s="52">
        <v>0.75059365148353863</v>
      </c>
      <c r="AZ40" s="52">
        <v>1.1140253801092819</v>
      </c>
      <c r="BA40" s="52">
        <v>0.38331822037616636</v>
      </c>
      <c r="BB40" s="52">
        <v>1.0397018435272793</v>
      </c>
      <c r="BC40" s="52">
        <v>0.86532967319072596</v>
      </c>
      <c r="BD40" s="52">
        <v>1.381300533848868</v>
      </c>
      <c r="BE40" s="2">
        <v>9.8571637041138796E-4</v>
      </c>
      <c r="BF40" s="65">
        <v>0.77</v>
      </c>
      <c r="BG40" s="2" t="s">
        <v>489</v>
      </c>
      <c r="BH40" s="2">
        <v>3.35</v>
      </c>
      <c r="BI40" s="2">
        <v>1</v>
      </c>
      <c r="BJ40" s="225">
        <v>16</v>
      </c>
      <c r="BK40" s="225">
        <v>0.85</v>
      </c>
      <c r="BL40" s="225">
        <v>0.11</v>
      </c>
      <c r="BM40" s="1" t="s">
        <v>555</v>
      </c>
      <c r="BN40" s="29" t="s">
        <v>607</v>
      </c>
      <c r="BO40" s="29" t="s">
        <v>514</v>
      </c>
      <c r="BP40" s="29">
        <v>59</v>
      </c>
      <c r="BQ40" s="29" t="s">
        <v>0</v>
      </c>
      <c r="BR40" s="2" t="s">
        <v>493</v>
      </c>
      <c r="BS40" s="29" t="s">
        <v>494</v>
      </c>
      <c r="BT40" s="29" t="s">
        <v>495</v>
      </c>
      <c r="BU40" s="29" t="s">
        <v>4</v>
      </c>
      <c r="BV40" s="29" t="s">
        <v>516</v>
      </c>
      <c r="BW40" s="29" t="s">
        <v>497</v>
      </c>
      <c r="BX40" s="29" t="s">
        <v>498</v>
      </c>
      <c r="BY40" s="29">
        <v>0</v>
      </c>
      <c r="BZ40" s="29">
        <v>7.8</v>
      </c>
      <c r="CA40" s="29" t="s">
        <v>3</v>
      </c>
      <c r="CB40" s="2" t="s">
        <v>608</v>
      </c>
      <c r="CC40" s="2" t="s">
        <v>499</v>
      </c>
      <c r="CD40" s="29" t="s">
        <v>519</v>
      </c>
      <c r="CE40" s="55" t="s">
        <v>544</v>
      </c>
      <c r="CF40" s="29" t="s">
        <v>519</v>
      </c>
      <c r="CG40" s="29" t="s">
        <v>503</v>
      </c>
      <c r="CH40" s="29" t="s">
        <v>534</v>
      </c>
      <c r="CI40" s="29" t="s">
        <v>501</v>
      </c>
      <c r="CJ40" s="4" t="s">
        <v>609</v>
      </c>
      <c r="CK40" s="29">
        <v>1</v>
      </c>
      <c r="CL40" s="29">
        <v>1</v>
      </c>
      <c r="CM40" s="29" t="s">
        <v>506</v>
      </c>
      <c r="CN40" s="29" t="s">
        <v>523</v>
      </c>
      <c r="CO40" s="29" t="s">
        <v>508</v>
      </c>
      <c r="CP40" s="29" t="s">
        <v>508</v>
      </c>
      <c r="CQ40" s="29" t="s">
        <v>572</v>
      </c>
      <c r="CR40" s="29">
        <v>0</v>
      </c>
      <c r="CS40" s="29" t="s">
        <v>509</v>
      </c>
      <c r="CT40" s="29" t="s">
        <v>509</v>
      </c>
      <c r="CU40" s="47">
        <v>1</v>
      </c>
      <c r="CV40" s="56">
        <v>1</v>
      </c>
      <c r="CW40" s="47">
        <v>1</v>
      </c>
      <c r="CX40" s="47">
        <v>1</v>
      </c>
      <c r="CY40" s="56">
        <v>1</v>
      </c>
      <c r="CZ40" s="56">
        <v>1</v>
      </c>
      <c r="DA40" s="47">
        <v>1</v>
      </c>
      <c r="DB40" s="47">
        <v>1</v>
      </c>
      <c r="DC40" s="56">
        <v>1</v>
      </c>
      <c r="DD40" s="47">
        <v>1</v>
      </c>
      <c r="DE40" s="47">
        <v>1</v>
      </c>
      <c r="DF40" s="2">
        <v>0</v>
      </c>
      <c r="DG40" s="2">
        <v>0</v>
      </c>
      <c r="DH40" s="47">
        <v>1</v>
      </c>
      <c r="DI40" s="2">
        <v>0</v>
      </c>
      <c r="DJ40" s="47">
        <v>1</v>
      </c>
      <c r="DK40" s="2">
        <v>0</v>
      </c>
      <c r="DL40" s="56">
        <v>1</v>
      </c>
      <c r="DM40" s="2">
        <v>0</v>
      </c>
      <c r="DN40" s="2">
        <v>0</v>
      </c>
      <c r="DO40" s="47">
        <v>1</v>
      </c>
      <c r="DP40" s="2">
        <v>0</v>
      </c>
      <c r="DQ40" s="2">
        <v>0</v>
      </c>
      <c r="DR40" s="57">
        <v>4.8230947957800002E-2</v>
      </c>
      <c r="DS40" s="57">
        <v>1.3645255666095699E-3</v>
      </c>
      <c r="DT40">
        <v>0</v>
      </c>
      <c r="DU40" s="57">
        <v>4.4178250871670703E-2</v>
      </c>
      <c r="DV40" s="57">
        <v>9.5515100357206506E-2</v>
      </c>
      <c r="DW40" s="86">
        <v>0.132334286128269</v>
      </c>
      <c r="DX40" s="61">
        <v>0</v>
      </c>
      <c r="DY40" s="57">
        <v>6.2884361326393301E-2</v>
      </c>
      <c r="DZ40" s="57">
        <v>3.3419233218821003E-2</v>
      </c>
      <c r="EA40" s="60">
        <v>0.143720322992265</v>
      </c>
      <c r="EB40" s="57">
        <v>5.8781124417479499E-2</v>
      </c>
      <c r="EC40" s="57">
        <v>8.8808503032929698E-2</v>
      </c>
      <c r="ED40" s="57">
        <v>3.1987936321654503E-2</v>
      </c>
      <c r="EE40" s="227">
        <v>0</v>
      </c>
      <c r="EF40" s="60">
        <v>0.12852616803122799</v>
      </c>
      <c r="EG40" s="57">
        <v>1.0138160436548699E-3</v>
      </c>
      <c r="EH40" s="57">
        <v>1.4411659855180199E-2</v>
      </c>
      <c r="EI40" s="57">
        <v>5.5366656211455704E-3</v>
      </c>
      <c r="EJ40" s="57">
        <v>2.3443486071278399E-2</v>
      </c>
      <c r="EK40" s="57">
        <v>2.1454094647641201E-2</v>
      </c>
      <c r="EL40" s="57">
        <v>6.4389517538772298E-2</v>
      </c>
    </row>
    <row r="41" spans="1:142" x14ac:dyDescent="0.25">
      <c r="A41" s="45" t="s">
        <v>28</v>
      </c>
      <c r="B41" s="29" t="s">
        <v>486</v>
      </c>
      <c r="C41" s="29">
        <v>1</v>
      </c>
      <c r="D41" s="29">
        <v>1</v>
      </c>
      <c r="E41" s="29">
        <v>1</v>
      </c>
      <c r="F41" s="29">
        <v>1</v>
      </c>
      <c r="G41" s="29">
        <v>1</v>
      </c>
      <c r="H41" s="29">
        <v>1</v>
      </c>
      <c r="I41" s="45">
        <v>2</v>
      </c>
      <c r="J41" s="225" t="s">
        <v>27</v>
      </c>
      <c r="K41" s="56" t="s">
        <v>539</v>
      </c>
      <c r="L41" s="74">
        <v>3</v>
      </c>
      <c r="M41" s="74">
        <v>3</v>
      </c>
      <c r="N41" s="95">
        <v>2</v>
      </c>
      <c r="O41" s="197">
        <v>3</v>
      </c>
      <c r="P41" s="197">
        <v>1</v>
      </c>
      <c r="Q41" s="49">
        <v>0</v>
      </c>
      <c r="R41" s="49">
        <v>0</v>
      </c>
      <c r="S41" s="197">
        <v>4</v>
      </c>
      <c r="T41" s="50" t="s">
        <v>611</v>
      </c>
      <c r="U41" s="2">
        <v>53</v>
      </c>
      <c r="V41" s="2">
        <v>46</v>
      </c>
      <c r="W41" s="5">
        <v>34</v>
      </c>
      <c r="X41" s="29"/>
      <c r="Y41" s="51"/>
      <c r="Z41" s="51"/>
      <c r="AA41" s="67"/>
      <c r="AB41" s="67"/>
      <c r="AC41" s="67"/>
      <c r="AD41" s="67"/>
      <c r="AE41" s="67"/>
      <c r="AF41" s="67"/>
      <c r="AG41" s="51"/>
      <c r="AH41" s="51"/>
      <c r="AI41" s="51"/>
      <c r="AJ41" s="51"/>
      <c r="AK41" s="85"/>
      <c r="AL41" s="82"/>
      <c r="AM41" s="51"/>
      <c r="AN41" s="51"/>
      <c r="AO41" s="51"/>
      <c r="AU41" s="29">
        <v>1.1791890246878101E-2</v>
      </c>
      <c r="AV41" s="227">
        <v>13.2037661672135</v>
      </c>
      <c r="AW41" s="52">
        <v>0.12926441087454188</v>
      </c>
      <c r="AX41" s="52">
        <v>0.7906048276673644</v>
      </c>
      <c r="AY41" s="52">
        <v>0.68269722705412872</v>
      </c>
      <c r="AZ41" s="52">
        <v>1.3609961185695507</v>
      </c>
      <c r="BA41" s="52">
        <v>4.9068112504235852E-2</v>
      </c>
      <c r="BB41" s="52">
        <v>1.2011577978157986</v>
      </c>
      <c r="BC41" s="52">
        <v>0.92426002299327858</v>
      </c>
      <c r="BD41" s="52">
        <v>1.3631605180341513</v>
      </c>
      <c r="BE41" s="2">
        <v>1.0777646694390499E-3</v>
      </c>
      <c r="BF41" s="45">
        <v>0.89</v>
      </c>
      <c r="BG41" s="2" t="s">
        <v>489</v>
      </c>
      <c r="BH41" s="2">
        <v>2.25</v>
      </c>
      <c r="BI41" s="2">
        <v>0</v>
      </c>
      <c r="BJ41" s="2">
        <v>10</v>
      </c>
      <c r="BK41" s="2">
        <v>0.9</v>
      </c>
      <c r="BL41" s="2">
        <v>0.09</v>
      </c>
      <c r="BM41" s="1" t="s">
        <v>555</v>
      </c>
      <c r="BN41" s="29" t="s">
        <v>513</v>
      </c>
      <c r="BO41" s="29" t="s">
        <v>492</v>
      </c>
      <c r="BP41" s="29">
        <v>69</v>
      </c>
      <c r="BQ41" s="29">
        <v>0</v>
      </c>
      <c r="BR41" s="225" t="s">
        <v>493</v>
      </c>
      <c r="BS41" s="29" t="s">
        <v>568</v>
      </c>
      <c r="BT41" s="29" t="s">
        <v>495</v>
      </c>
      <c r="BU41" s="29" t="s">
        <v>5</v>
      </c>
      <c r="BV41" s="29" t="s">
        <v>528</v>
      </c>
      <c r="BW41" s="71" t="s">
        <v>529</v>
      </c>
      <c r="BX41" s="29" t="s">
        <v>585</v>
      </c>
      <c r="BY41" s="29">
        <v>1</v>
      </c>
      <c r="BZ41" s="29" t="s">
        <v>499</v>
      </c>
      <c r="CA41" s="29">
        <v>7</v>
      </c>
      <c r="CB41" s="2">
        <v>0.7</v>
      </c>
      <c r="CC41" s="2" t="s">
        <v>499</v>
      </c>
      <c r="CD41" s="29" t="s">
        <v>519</v>
      </c>
      <c r="CE41" s="55" t="s">
        <v>544</v>
      </c>
      <c r="CF41" s="29" t="s">
        <v>501</v>
      </c>
      <c r="CG41" s="29" t="s">
        <v>533</v>
      </c>
      <c r="CH41" s="55" t="s">
        <v>360</v>
      </c>
      <c r="CI41" s="29" t="s">
        <v>501</v>
      </c>
      <c r="CJ41" s="4">
        <v>1229</v>
      </c>
      <c r="CK41" s="29">
        <v>3</v>
      </c>
      <c r="CL41" s="29">
        <v>0.2</v>
      </c>
      <c r="CM41" s="29" t="s">
        <v>552</v>
      </c>
      <c r="CN41" s="29" t="s">
        <v>509</v>
      </c>
      <c r="CO41" s="29" t="s">
        <v>509</v>
      </c>
      <c r="CP41" s="29" t="s">
        <v>509</v>
      </c>
      <c r="CQ41" s="29" t="s">
        <v>510</v>
      </c>
      <c r="CR41" s="29" t="s">
        <v>524</v>
      </c>
      <c r="CS41" s="29" t="s">
        <v>509</v>
      </c>
      <c r="CT41" s="55" t="s">
        <v>511</v>
      </c>
      <c r="CU41" s="47">
        <v>1</v>
      </c>
      <c r="CV41" s="56">
        <v>1</v>
      </c>
      <c r="CW41" s="225">
        <v>0</v>
      </c>
      <c r="CX41" s="225">
        <v>0</v>
      </c>
      <c r="CY41" s="225">
        <v>0</v>
      </c>
      <c r="CZ41" s="225">
        <v>0</v>
      </c>
      <c r="DA41" s="47">
        <v>1</v>
      </c>
      <c r="DB41" s="225">
        <v>0</v>
      </c>
      <c r="DC41" s="56">
        <v>1</v>
      </c>
      <c r="DD41" s="225">
        <v>0</v>
      </c>
      <c r="DE41" s="225">
        <v>0</v>
      </c>
      <c r="DF41" s="56">
        <v>1</v>
      </c>
      <c r="DG41" s="2">
        <v>0</v>
      </c>
      <c r="DH41" s="225">
        <v>0</v>
      </c>
      <c r="DI41" s="225">
        <v>0</v>
      </c>
      <c r="DJ41" s="47">
        <v>1</v>
      </c>
      <c r="DK41" s="2">
        <v>0</v>
      </c>
      <c r="DL41" s="225">
        <v>0</v>
      </c>
      <c r="DM41" s="225">
        <v>0</v>
      </c>
      <c r="DN41" s="56">
        <v>1</v>
      </c>
      <c r="DO41" s="225">
        <v>0</v>
      </c>
      <c r="DP41" s="2">
        <v>0</v>
      </c>
      <c r="DQ41" s="225">
        <v>0</v>
      </c>
      <c r="DR41" s="227">
        <v>0</v>
      </c>
      <c r="DS41" s="57">
        <v>2.4841830964648599E-2</v>
      </c>
      <c r="DT41" s="57">
        <v>7.3594885016065497E-3</v>
      </c>
      <c r="DU41" s="57">
        <v>4.50623275305604E-2</v>
      </c>
      <c r="DV41" s="79">
        <v>0.23708035036521699</v>
      </c>
      <c r="DW41" s="73">
        <v>0.22507546933467701</v>
      </c>
      <c r="DX41" s="57">
        <v>8.1622004004084606E-2</v>
      </c>
      <c r="DY41" s="57">
        <v>6.9875548708511107E-2</v>
      </c>
      <c r="DZ41" s="57">
        <v>1.50937074810786E-2</v>
      </c>
      <c r="EA41" s="57">
        <v>5.0693106419282798E-2</v>
      </c>
      <c r="EB41" s="61">
        <v>0</v>
      </c>
      <c r="EC41" s="57">
        <v>1.8314760103525202E-2</v>
      </c>
      <c r="ED41" s="57">
        <v>6.8387951574425093E-2</v>
      </c>
      <c r="EE41" s="57">
        <v>2.5597713332516502E-2</v>
      </c>
      <c r="EF41" s="57">
        <v>1.27659820085038E-2</v>
      </c>
      <c r="EG41" s="57">
        <v>1.57295018039804E-2</v>
      </c>
      <c r="EH41" s="227">
        <v>0</v>
      </c>
      <c r="EI41" s="61">
        <v>0</v>
      </c>
      <c r="EJ41" s="57">
        <v>1.7508386199106701E-2</v>
      </c>
      <c r="EK41" s="61">
        <v>0</v>
      </c>
      <c r="EL41" s="57">
        <v>8.4991871668275903E-2</v>
      </c>
    </row>
    <row r="42" spans="1:142" x14ac:dyDescent="0.25">
      <c r="A42" s="45" t="s">
        <v>39</v>
      </c>
      <c r="B42" s="29" t="s">
        <v>486</v>
      </c>
      <c r="C42" s="29">
        <v>1</v>
      </c>
      <c r="D42" s="29">
        <v>1</v>
      </c>
      <c r="E42" s="29">
        <v>1</v>
      </c>
      <c r="F42" s="29">
        <v>1</v>
      </c>
      <c r="G42" s="29">
        <v>1</v>
      </c>
      <c r="H42" s="29">
        <v>1</v>
      </c>
      <c r="I42" s="45">
        <v>1</v>
      </c>
      <c r="J42" s="225" t="s">
        <v>27</v>
      </c>
      <c r="K42" s="56" t="s">
        <v>539</v>
      </c>
      <c r="L42" s="74">
        <v>3</v>
      </c>
      <c r="M42" s="62">
        <v>2</v>
      </c>
      <c r="N42" s="48">
        <v>1</v>
      </c>
      <c r="O42" s="197">
        <v>2</v>
      </c>
      <c r="P42" s="197">
        <v>1</v>
      </c>
      <c r="Q42" s="49">
        <v>0</v>
      </c>
      <c r="R42" s="49">
        <v>0</v>
      </c>
      <c r="S42" s="227">
        <v>1</v>
      </c>
      <c r="T42" s="50">
        <v>6</v>
      </c>
      <c r="U42" s="2">
        <v>66</v>
      </c>
      <c r="V42" s="2">
        <v>53</v>
      </c>
      <c r="W42" s="5">
        <v>42</v>
      </c>
      <c r="X42" s="96" t="s">
        <v>580</v>
      </c>
      <c r="Y42" s="51"/>
      <c r="Z42" s="51"/>
      <c r="AA42" s="67"/>
      <c r="AB42" s="67"/>
      <c r="AC42" s="67"/>
      <c r="AD42" s="100" t="s">
        <v>25</v>
      </c>
      <c r="AE42" s="68" t="s">
        <v>613</v>
      </c>
      <c r="AF42" s="67"/>
      <c r="AG42" s="51"/>
      <c r="AH42" s="51"/>
      <c r="AI42" s="51"/>
      <c r="AJ42" s="51"/>
      <c r="AK42" s="51"/>
      <c r="AL42" s="51"/>
      <c r="AM42" s="51"/>
      <c r="AN42" s="51"/>
      <c r="AO42" s="51"/>
      <c r="AU42" s="29">
        <v>0.38220915751463003</v>
      </c>
      <c r="AV42" s="227">
        <v>3.6636760667875099</v>
      </c>
      <c r="AW42" s="52">
        <v>1.3918032457507981</v>
      </c>
      <c r="AX42" s="52">
        <v>0.65066650851609542</v>
      </c>
      <c r="AY42" s="52">
        <v>0.58964651669850165</v>
      </c>
      <c r="AZ42" s="52">
        <v>1.7304614621105083</v>
      </c>
      <c r="BA42" s="52">
        <v>88.733158434013035</v>
      </c>
      <c r="BB42" s="52">
        <v>1.8233653926953548</v>
      </c>
      <c r="BC42" s="52">
        <v>0.88688549997019583</v>
      </c>
      <c r="BD42" s="52">
        <v>1.170096041485849</v>
      </c>
      <c r="BE42" s="2">
        <v>8.6561823171660301E-4</v>
      </c>
      <c r="BF42" s="78">
        <v>0.48</v>
      </c>
      <c r="BG42" s="2" t="s">
        <v>489</v>
      </c>
      <c r="BH42" s="2">
        <v>1.83</v>
      </c>
      <c r="BI42" s="2">
        <v>0</v>
      </c>
      <c r="BJ42" s="225">
        <v>16</v>
      </c>
      <c r="BK42" s="225">
        <v>0.45</v>
      </c>
      <c r="BL42" s="225">
        <v>0.02</v>
      </c>
      <c r="BM42" s="1" t="s">
        <v>555</v>
      </c>
      <c r="BN42" s="29" t="s">
        <v>513</v>
      </c>
      <c r="BO42" s="29" t="s">
        <v>492</v>
      </c>
      <c r="BP42" s="29">
        <v>73</v>
      </c>
      <c r="BQ42" s="29" t="s">
        <v>0</v>
      </c>
      <c r="BR42" s="2" t="s">
        <v>493</v>
      </c>
      <c r="BS42" s="29" t="s">
        <v>494</v>
      </c>
      <c r="BT42" s="29" t="s">
        <v>495</v>
      </c>
      <c r="BU42" s="29" t="s">
        <v>4</v>
      </c>
      <c r="BV42" s="29" t="s">
        <v>496</v>
      </c>
      <c r="BW42" s="29" t="s">
        <v>497</v>
      </c>
      <c r="BX42" s="29" t="s">
        <v>498</v>
      </c>
      <c r="BY42" s="29">
        <v>1</v>
      </c>
      <c r="BZ42" s="29" t="s">
        <v>499</v>
      </c>
      <c r="CA42" s="29">
        <v>39.200000000000003</v>
      </c>
      <c r="CB42" s="2">
        <v>0.7</v>
      </c>
      <c r="CC42" s="2" t="s">
        <v>499</v>
      </c>
      <c r="CD42" s="29" t="s">
        <v>501</v>
      </c>
      <c r="CE42" s="29" t="s">
        <v>502</v>
      </c>
      <c r="CF42" s="29" t="s">
        <v>519</v>
      </c>
      <c r="CG42" s="29" t="s">
        <v>533</v>
      </c>
      <c r="CH42" s="29" t="s">
        <v>534</v>
      </c>
      <c r="CI42" s="29" t="s">
        <v>519</v>
      </c>
      <c r="CJ42" s="4">
        <v>602</v>
      </c>
      <c r="CK42" s="29">
        <v>2</v>
      </c>
      <c r="CL42" s="29">
        <v>0.6</v>
      </c>
      <c r="CM42" s="29" t="s">
        <v>522</v>
      </c>
      <c r="CN42" s="29" t="s">
        <v>523</v>
      </c>
      <c r="CO42" s="29" t="s">
        <v>508</v>
      </c>
      <c r="CP42" s="29" t="s">
        <v>508</v>
      </c>
      <c r="CQ42" s="29" t="s">
        <v>572</v>
      </c>
      <c r="CR42" s="29" t="s">
        <v>566</v>
      </c>
      <c r="CS42" s="29" t="s">
        <v>509</v>
      </c>
      <c r="CT42" s="55" t="s">
        <v>511</v>
      </c>
      <c r="CU42" s="47">
        <v>1</v>
      </c>
      <c r="CV42" s="56">
        <v>1</v>
      </c>
      <c r="CW42" s="47">
        <v>1</v>
      </c>
      <c r="CX42" s="47">
        <v>1</v>
      </c>
      <c r="CY42" s="2">
        <v>0</v>
      </c>
      <c r="CZ42" s="2">
        <v>0</v>
      </c>
      <c r="DA42" s="47">
        <v>1</v>
      </c>
      <c r="DB42" s="2">
        <v>0</v>
      </c>
      <c r="DC42" s="56">
        <v>1</v>
      </c>
      <c r="DD42" s="47">
        <v>1</v>
      </c>
      <c r="DE42" s="47">
        <v>1</v>
      </c>
      <c r="DF42" s="2">
        <v>0</v>
      </c>
      <c r="DG42" s="2">
        <v>0</v>
      </c>
      <c r="DH42" s="2">
        <v>0</v>
      </c>
      <c r="DI42" s="47">
        <v>1</v>
      </c>
      <c r="DJ42" s="47">
        <v>1</v>
      </c>
      <c r="DK42" s="2">
        <v>0</v>
      </c>
      <c r="DL42" s="2">
        <v>0</v>
      </c>
      <c r="DM42" s="2">
        <v>0</v>
      </c>
      <c r="DN42" s="56">
        <v>1</v>
      </c>
      <c r="DO42" s="47">
        <v>1</v>
      </c>
      <c r="DP42" s="2">
        <v>0</v>
      </c>
      <c r="DQ42" s="2">
        <v>0</v>
      </c>
      <c r="DR42" s="58">
        <v>0.189536895207534</v>
      </c>
      <c r="DS42" s="227">
        <v>0</v>
      </c>
      <c r="DT42" s="227">
        <v>0</v>
      </c>
      <c r="DU42" s="57">
        <v>7.65726990064204E-2</v>
      </c>
      <c r="DV42" s="227">
        <v>0</v>
      </c>
      <c r="DW42" s="73">
        <v>0.22691034723973999</v>
      </c>
      <c r="DX42" s="61">
        <v>0</v>
      </c>
      <c r="DY42" s="57">
        <v>4.5732272484375801E-2</v>
      </c>
      <c r="DZ42" s="227">
        <v>0</v>
      </c>
      <c r="EA42" s="57">
        <v>1.0639065588959801E-2</v>
      </c>
      <c r="EB42" s="57">
        <v>3.3772939892604999E-2</v>
      </c>
      <c r="EC42" s="227">
        <v>0</v>
      </c>
      <c r="ED42" s="60">
        <v>0.14179069747271</v>
      </c>
      <c r="EE42" s="57">
        <v>7.5263649245880998E-2</v>
      </c>
      <c r="EF42" s="60">
        <v>0.134830392637494</v>
      </c>
      <c r="EG42" s="61">
        <v>0</v>
      </c>
      <c r="EH42" s="57">
        <v>2.7204080368739701E-2</v>
      </c>
      <c r="EI42" s="57">
        <v>2.91191191529853E-2</v>
      </c>
      <c r="EJ42" s="61">
        <v>0</v>
      </c>
      <c r="EK42" s="61">
        <v>0</v>
      </c>
      <c r="EL42" s="57">
        <v>8.6278417025550894E-3</v>
      </c>
    </row>
    <row r="43" spans="1:142" x14ac:dyDescent="0.25">
      <c r="A43" s="5"/>
      <c r="X43" s="45"/>
      <c r="Y43" s="45"/>
      <c r="Z43" s="45"/>
      <c r="AA43" s="45"/>
      <c r="AB43" s="45"/>
      <c r="AC43" s="45"/>
      <c r="AD43" s="45"/>
      <c r="AE43" s="45"/>
      <c r="AF43" s="45"/>
      <c r="AG43" s="45"/>
      <c r="AH43" s="45"/>
      <c r="AI43" s="45"/>
      <c r="AJ43" s="45"/>
      <c r="AK43" s="45"/>
      <c r="AL43" s="45"/>
      <c r="AM43" s="45"/>
      <c r="AN43" s="45"/>
      <c r="AO43" s="45"/>
      <c r="AQ43" s="45"/>
      <c r="AR43" s="45"/>
      <c r="AS43" s="45"/>
      <c r="AT43" s="45"/>
      <c r="AU43" s="45"/>
      <c r="AV43" s="29"/>
      <c r="AW43" s="2"/>
      <c r="AX43" s="2"/>
      <c r="AY43" s="2"/>
      <c r="BE43" s="29"/>
      <c r="BY43" s="29"/>
      <c r="CB43" s="2"/>
    </row>
    <row r="44" spans="1:142" x14ac:dyDescent="0.25">
      <c r="A44" s="5"/>
      <c r="B44" s="2"/>
      <c r="C44" s="2"/>
      <c r="D44" s="2"/>
      <c r="E44" s="2"/>
      <c r="F44" s="2"/>
      <c r="G44" s="2"/>
      <c r="H44" s="2"/>
      <c r="AA44" s="2"/>
      <c r="AB44" s="2"/>
      <c r="AC44" s="2"/>
      <c r="AD44" s="2"/>
      <c r="AE44" s="2"/>
      <c r="AF44" s="2"/>
      <c r="AG44" s="2"/>
      <c r="AH44" s="2"/>
      <c r="AI44" s="2"/>
      <c r="AJ44" s="2"/>
      <c r="AK44" s="2"/>
      <c r="AL44" s="2"/>
      <c r="AM44" s="2"/>
      <c r="AN44" s="2"/>
      <c r="AO44" s="2"/>
      <c r="AQ44" s="2"/>
      <c r="AR44" s="2"/>
      <c r="AS44" s="2"/>
      <c r="AT44" s="2"/>
      <c r="AU44" s="2"/>
      <c r="AV44" s="84"/>
      <c r="AW44" s="2"/>
      <c r="AX44" s="2"/>
      <c r="AY44" s="2"/>
      <c r="BE44" s="84" t="s">
        <v>618</v>
      </c>
      <c r="CB44" s="2"/>
      <c r="CJ44" s="221" t="s">
        <v>617</v>
      </c>
    </row>
    <row r="45" spans="1:142" x14ac:dyDescent="0.25">
      <c r="A45" s="5"/>
      <c r="Z45" s="29"/>
      <c r="AV45" s="29"/>
      <c r="AY45" s="2"/>
      <c r="BE45" s="29"/>
      <c r="CB45" s="2"/>
    </row>
    <row r="46" spans="1:142" x14ac:dyDescent="0.25">
      <c r="A46" s="1" t="s">
        <v>3722</v>
      </c>
      <c r="S46" s="197"/>
      <c r="T46" s="197"/>
      <c r="X46" s="197"/>
      <c r="Y46" s="197"/>
      <c r="AA46" s="2"/>
      <c r="AZ46" s="225"/>
      <c r="BA46" s="225"/>
      <c r="BB46" s="225"/>
      <c r="BC46" s="225"/>
      <c r="CB46" s="2"/>
      <c r="CC46" s="29"/>
    </row>
    <row r="47" spans="1:142" x14ac:dyDescent="0.25">
      <c r="A47" s="218" t="s">
        <v>3692</v>
      </c>
      <c r="S47" s="197"/>
      <c r="T47" s="197"/>
      <c r="X47" s="197"/>
      <c r="Y47" s="197"/>
      <c r="Z47" s="29"/>
      <c r="AA47" s="110"/>
      <c r="AZ47" s="225"/>
      <c r="BA47" s="225"/>
      <c r="BB47" s="225"/>
      <c r="BC47" s="225"/>
    </row>
    <row r="48" spans="1:142" x14ac:dyDescent="0.25">
      <c r="A48" s="2" t="s">
        <v>3703</v>
      </c>
      <c r="T48" s="197"/>
      <c r="U48" s="197"/>
      <c r="X48" s="195" t="s">
        <v>3726</v>
      </c>
      <c r="Y48" s="224"/>
      <c r="Z48" s="224"/>
      <c r="AA48" s="224"/>
      <c r="AB48" s="76" t="s">
        <v>46</v>
      </c>
      <c r="AC48" s="224"/>
      <c r="AD48" s="224"/>
      <c r="AE48" s="224"/>
      <c r="AF48" s="224"/>
      <c r="AG48" s="224"/>
      <c r="AH48" s="224"/>
      <c r="AI48" s="224"/>
      <c r="AJ48" s="224"/>
      <c r="AK48" s="224"/>
      <c r="AL48" s="224"/>
      <c r="AM48" s="224"/>
      <c r="AN48" s="224"/>
      <c r="AO48" s="224"/>
      <c r="AP48" s="224"/>
      <c r="AQ48" s="224"/>
      <c r="AR48" s="224"/>
      <c r="AS48" s="224"/>
      <c r="AT48" s="224"/>
      <c r="AZ48" s="225"/>
      <c r="BA48" s="225"/>
      <c r="BB48" s="225"/>
      <c r="BC48" s="225"/>
      <c r="BM48" s="1" t="s">
        <v>549</v>
      </c>
      <c r="BN48" s="52" t="s">
        <v>513</v>
      </c>
      <c r="BO48" s="52" t="s">
        <v>3696</v>
      </c>
      <c r="BP48" s="52">
        <v>74</v>
      </c>
      <c r="BQ48" s="2">
        <v>0</v>
      </c>
      <c r="BR48" s="2" t="s">
        <v>493</v>
      </c>
      <c r="BS48" s="4" t="s">
        <v>494</v>
      </c>
      <c r="BT48" s="2" t="s">
        <v>495</v>
      </c>
      <c r="BU48" s="2" t="s">
        <v>5</v>
      </c>
      <c r="BV48" s="2" t="s">
        <v>496</v>
      </c>
      <c r="BW48" s="2" t="s">
        <v>556</v>
      </c>
      <c r="BX48" s="4" t="s">
        <v>570</v>
      </c>
      <c r="BY48" s="29">
        <v>1</v>
      </c>
      <c r="BZ48" s="2" t="s">
        <v>499</v>
      </c>
      <c r="CA48" s="2">
        <v>150.19999999999999</v>
      </c>
      <c r="CB48" s="2"/>
      <c r="CC48" s="2" t="s">
        <v>543</v>
      </c>
      <c r="CD48" s="2" t="s">
        <v>519</v>
      </c>
      <c r="CE48" s="2" t="s">
        <v>502</v>
      </c>
      <c r="CF48" s="2" t="s">
        <v>562</v>
      </c>
      <c r="CG48" s="217" t="s">
        <v>533</v>
      </c>
      <c r="CH48" s="4" t="s">
        <v>3713</v>
      </c>
      <c r="CI48" s="2" t="s">
        <v>519</v>
      </c>
      <c r="CJ48" s="52">
        <v>1777</v>
      </c>
    </row>
    <row r="49" spans="1:88" x14ac:dyDescent="0.25">
      <c r="A49" s="2" t="s">
        <v>3702</v>
      </c>
      <c r="T49" s="197"/>
      <c r="U49" s="197"/>
      <c r="X49" s="195" t="s">
        <v>3727</v>
      </c>
      <c r="Y49" s="224"/>
      <c r="Z49" s="224"/>
      <c r="AA49" s="80" t="s">
        <v>26</v>
      </c>
      <c r="AB49" s="224"/>
      <c r="AC49" s="224"/>
      <c r="AD49" s="224"/>
      <c r="AE49" s="224"/>
      <c r="AF49" s="223" t="s">
        <v>3728</v>
      </c>
      <c r="AG49" s="224"/>
      <c r="AH49" s="69" t="s">
        <v>46</v>
      </c>
      <c r="AI49" s="224"/>
      <c r="AJ49" s="224"/>
      <c r="AK49" s="224"/>
      <c r="AL49" s="224"/>
      <c r="AM49" s="224"/>
      <c r="AN49" s="224"/>
      <c r="AO49" s="224"/>
      <c r="AP49" s="224"/>
      <c r="AQ49" s="224"/>
      <c r="AR49" s="224"/>
      <c r="AS49" s="224"/>
      <c r="AT49" s="224"/>
      <c r="AZ49" s="225"/>
      <c r="BA49" s="225"/>
      <c r="BB49" s="225"/>
      <c r="BC49" s="225"/>
      <c r="BM49" s="1" t="s">
        <v>549</v>
      </c>
      <c r="BN49" s="52" t="s">
        <v>513</v>
      </c>
      <c r="BO49" s="52" t="s">
        <v>3499</v>
      </c>
      <c r="BP49" s="52">
        <v>75</v>
      </c>
      <c r="BQ49" s="2">
        <v>0</v>
      </c>
      <c r="BR49" s="2" t="s">
        <v>493</v>
      </c>
      <c r="BS49" s="4" t="s">
        <v>494</v>
      </c>
      <c r="BT49" s="2" t="s">
        <v>495</v>
      </c>
      <c r="BU49" s="2" t="s">
        <v>5</v>
      </c>
      <c r="BV49" s="2" t="s">
        <v>496</v>
      </c>
      <c r="BW49" s="2" t="s">
        <v>556</v>
      </c>
      <c r="BX49" s="4" t="s">
        <v>570</v>
      </c>
      <c r="BY49" s="29">
        <v>1</v>
      </c>
      <c r="BZ49" s="2">
        <v>2</v>
      </c>
      <c r="CA49" s="2">
        <v>166.7</v>
      </c>
      <c r="CB49" s="2"/>
      <c r="CC49" s="2" t="s">
        <v>518</v>
      </c>
      <c r="CD49" s="2" t="s">
        <v>519</v>
      </c>
      <c r="CE49" s="2" t="s">
        <v>502</v>
      </c>
      <c r="CF49" s="2" t="s">
        <v>562</v>
      </c>
      <c r="CG49" s="217" t="s">
        <v>533</v>
      </c>
      <c r="CH49" s="4" t="s">
        <v>534</v>
      </c>
      <c r="CI49" s="2" t="s">
        <v>519</v>
      </c>
      <c r="CJ49" s="52">
        <v>1716</v>
      </c>
    </row>
    <row r="50" spans="1:88" x14ac:dyDescent="0.25">
      <c r="A50" s="2" t="s">
        <v>3693</v>
      </c>
      <c r="T50" s="197"/>
      <c r="U50" s="197"/>
      <c r="X50" s="224"/>
      <c r="Y50" s="224"/>
      <c r="Z50" s="224"/>
      <c r="AA50" s="80" t="s">
        <v>25</v>
      </c>
      <c r="AB50" s="224"/>
      <c r="AC50" s="224"/>
      <c r="AD50" s="224"/>
      <c r="AE50" s="68" t="s">
        <v>3729</v>
      </c>
      <c r="AF50" s="224"/>
      <c r="AG50" s="224"/>
      <c r="AH50" s="224"/>
      <c r="AI50" s="224"/>
      <c r="AJ50" s="224"/>
      <c r="AK50" s="224"/>
      <c r="AL50" s="224"/>
      <c r="AM50" s="224"/>
      <c r="AN50" s="224"/>
      <c r="AO50" s="224"/>
      <c r="AP50" s="224"/>
      <c r="AQ50" s="224"/>
      <c r="AR50" s="224"/>
      <c r="AS50" s="224"/>
      <c r="AT50" s="224"/>
      <c r="AZ50" s="225"/>
      <c r="BA50" s="225"/>
      <c r="BB50" s="225"/>
      <c r="BC50" s="225"/>
      <c r="BM50" s="1" t="s">
        <v>549</v>
      </c>
      <c r="BN50" s="52" t="s">
        <v>513</v>
      </c>
      <c r="BO50" s="52" t="s">
        <v>3499</v>
      </c>
      <c r="BP50" s="52">
        <v>74</v>
      </c>
      <c r="BQ50" s="2">
        <v>0</v>
      </c>
      <c r="BR50" s="2" t="s">
        <v>583</v>
      </c>
      <c r="BS50" s="4" t="s">
        <v>494</v>
      </c>
      <c r="BT50" s="2" t="s">
        <v>550</v>
      </c>
      <c r="BU50" s="2" t="s">
        <v>551</v>
      </c>
      <c r="BV50" s="2" t="s">
        <v>496</v>
      </c>
      <c r="BW50" s="2" t="s">
        <v>556</v>
      </c>
      <c r="BX50" s="4" t="s">
        <v>517</v>
      </c>
      <c r="BY50" s="29">
        <v>1</v>
      </c>
      <c r="BZ50" s="2" t="s">
        <v>499</v>
      </c>
      <c r="CA50" s="2" t="s">
        <v>499</v>
      </c>
      <c r="CB50" s="2"/>
      <c r="CC50" s="2" t="s">
        <v>500</v>
      </c>
      <c r="CD50" s="2" t="s">
        <v>519</v>
      </c>
      <c r="CE50" s="2" t="s">
        <v>502</v>
      </c>
      <c r="CF50" s="2" t="s">
        <v>562</v>
      </c>
      <c r="CG50" s="217" t="s">
        <v>503</v>
      </c>
      <c r="CH50" s="4" t="s">
        <v>534</v>
      </c>
      <c r="CI50" s="2" t="s">
        <v>519</v>
      </c>
      <c r="CJ50" s="52" t="s">
        <v>3718</v>
      </c>
    </row>
    <row r="51" spans="1:88" x14ac:dyDescent="0.25">
      <c r="A51" s="2" t="s">
        <v>3705</v>
      </c>
      <c r="T51" s="197"/>
      <c r="U51" s="197"/>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Z51" s="225"/>
      <c r="BA51" s="225"/>
      <c r="BB51" s="225"/>
      <c r="BC51" s="225"/>
      <c r="BM51" s="1" t="s">
        <v>3695</v>
      </c>
      <c r="BN51" s="52" t="s">
        <v>513</v>
      </c>
      <c r="BO51" s="52" t="s">
        <v>3696</v>
      </c>
      <c r="BP51" s="52">
        <v>66</v>
      </c>
      <c r="BQ51" s="2">
        <v>0</v>
      </c>
      <c r="BR51" s="2" t="s">
        <v>583</v>
      </c>
      <c r="BS51" s="4" t="s">
        <v>494</v>
      </c>
      <c r="BT51" s="2" t="s">
        <v>495</v>
      </c>
      <c r="BU51" s="2" t="s">
        <v>3716</v>
      </c>
      <c r="BV51" s="2" t="s">
        <v>496</v>
      </c>
      <c r="BW51" s="2" t="s">
        <v>497</v>
      </c>
      <c r="BX51" s="4" t="s">
        <v>581</v>
      </c>
      <c r="BY51" s="29">
        <v>1</v>
      </c>
      <c r="BZ51" s="2" t="s">
        <v>499</v>
      </c>
      <c r="CA51" s="2">
        <v>52</v>
      </c>
      <c r="CB51" s="2"/>
      <c r="CC51" s="2" t="s">
        <v>3717</v>
      </c>
      <c r="CD51" s="2" t="s">
        <v>519</v>
      </c>
      <c r="CE51" s="2" t="s">
        <v>502</v>
      </c>
      <c r="CF51" s="2" t="s">
        <v>562</v>
      </c>
      <c r="CG51" s="217" t="s">
        <v>533</v>
      </c>
      <c r="CH51" s="4" t="s">
        <v>3714</v>
      </c>
      <c r="CI51" s="2" t="s">
        <v>519</v>
      </c>
      <c r="CJ51" s="52">
        <v>916</v>
      </c>
    </row>
    <row r="52" spans="1:88" x14ac:dyDescent="0.25">
      <c r="A52" s="2" t="s">
        <v>3706</v>
      </c>
      <c r="T52" s="197"/>
      <c r="U52" s="197"/>
      <c r="X52" s="224"/>
      <c r="Y52" s="224"/>
      <c r="Z52" s="224"/>
      <c r="AA52" s="224"/>
      <c r="AB52" s="224"/>
      <c r="AC52" s="224"/>
      <c r="AD52" s="224"/>
      <c r="AE52" s="224"/>
      <c r="AF52" s="224"/>
      <c r="AG52" s="224"/>
      <c r="AH52" s="224"/>
      <c r="AI52" s="224"/>
      <c r="AJ52" s="224"/>
      <c r="AK52" s="224"/>
      <c r="AL52" s="224"/>
      <c r="AM52" s="224"/>
      <c r="AN52" s="224"/>
      <c r="AO52" s="224"/>
      <c r="AP52" s="224"/>
      <c r="AQ52" s="224"/>
      <c r="AR52" s="224"/>
      <c r="AS52" s="224"/>
      <c r="AT52" s="224"/>
      <c r="AZ52" s="225"/>
      <c r="BA52" s="225"/>
      <c r="BB52" s="225"/>
      <c r="BC52" s="225"/>
      <c r="BM52" s="1" t="s">
        <v>3695</v>
      </c>
      <c r="BN52" s="52" t="s">
        <v>513</v>
      </c>
      <c r="BO52" s="52" t="s">
        <v>3696</v>
      </c>
      <c r="BP52" s="52">
        <v>75</v>
      </c>
      <c r="BQ52" s="2">
        <v>0</v>
      </c>
      <c r="BR52" s="2" t="s">
        <v>493</v>
      </c>
      <c r="BS52" s="4" t="s">
        <v>568</v>
      </c>
      <c r="BT52" s="2" t="s">
        <v>495</v>
      </c>
      <c r="BU52" s="2" t="s">
        <v>4</v>
      </c>
      <c r="BV52" s="2" t="s">
        <v>496</v>
      </c>
      <c r="BW52" s="2" t="s">
        <v>497</v>
      </c>
      <c r="BX52" s="4" t="s">
        <v>498</v>
      </c>
      <c r="BY52" s="29">
        <v>1</v>
      </c>
      <c r="BZ52" s="2" t="s">
        <v>499</v>
      </c>
      <c r="CA52" s="2">
        <v>2560</v>
      </c>
      <c r="CB52" s="2"/>
      <c r="CC52" s="2" t="s">
        <v>500</v>
      </c>
      <c r="CD52" s="2" t="s">
        <v>519</v>
      </c>
      <c r="CE52" s="2" t="s">
        <v>502</v>
      </c>
      <c r="CF52" s="2" t="s">
        <v>562</v>
      </c>
      <c r="CG52" s="217" t="s">
        <v>503</v>
      </c>
      <c r="CH52" s="4" t="s">
        <v>534</v>
      </c>
      <c r="CI52" s="2" t="s">
        <v>519</v>
      </c>
      <c r="CJ52" s="52" t="s">
        <v>3719</v>
      </c>
    </row>
    <row r="53" spans="1:88" x14ac:dyDescent="0.25">
      <c r="A53" s="2" t="s">
        <v>3698</v>
      </c>
      <c r="T53" s="197"/>
      <c r="U53" s="197"/>
      <c r="X53" s="224"/>
      <c r="Y53" s="224"/>
      <c r="Z53" s="224"/>
      <c r="AA53" s="224"/>
      <c r="AB53" s="224"/>
      <c r="AC53" s="224"/>
      <c r="AD53" s="224"/>
      <c r="AE53" s="68" t="s">
        <v>3729</v>
      </c>
      <c r="AF53" s="224"/>
      <c r="AG53" s="224"/>
      <c r="AH53" s="224"/>
      <c r="AI53" s="224"/>
      <c r="AJ53" s="224"/>
      <c r="AK53" s="224"/>
      <c r="AL53" s="224"/>
      <c r="AM53" s="224"/>
      <c r="AN53" s="224"/>
      <c r="AO53" s="225"/>
      <c r="AP53" s="225"/>
      <c r="AQ53" s="225"/>
      <c r="AR53" s="225"/>
      <c r="AS53" s="225"/>
      <c r="AT53" s="225"/>
      <c r="AZ53" s="225"/>
      <c r="BA53" s="225"/>
      <c r="BB53" s="225"/>
      <c r="BC53" s="225"/>
      <c r="BM53" s="1" t="s">
        <v>3695</v>
      </c>
      <c r="BN53" s="52" t="s">
        <v>535</v>
      </c>
      <c r="BO53" s="52" t="s">
        <v>3499</v>
      </c>
      <c r="BP53" s="52">
        <v>49</v>
      </c>
      <c r="BQ53" s="2">
        <v>0</v>
      </c>
      <c r="BR53" s="2" t="s">
        <v>583</v>
      </c>
      <c r="BS53" s="4" t="s">
        <v>494</v>
      </c>
      <c r="BT53" s="2" t="s">
        <v>495</v>
      </c>
      <c r="BU53" s="2" t="s">
        <v>5</v>
      </c>
      <c r="BV53" s="2" t="s">
        <v>496</v>
      </c>
      <c r="BW53" s="2" t="s">
        <v>529</v>
      </c>
      <c r="BX53" s="4" t="s">
        <v>585</v>
      </c>
      <c r="BY53" s="45">
        <v>0</v>
      </c>
      <c r="BZ53" s="2">
        <v>4.5</v>
      </c>
      <c r="CA53" s="2">
        <v>138</v>
      </c>
      <c r="CB53" s="2"/>
      <c r="CC53" s="2" t="s">
        <v>500</v>
      </c>
      <c r="CD53" s="2" t="s">
        <v>519</v>
      </c>
      <c r="CE53" s="2" t="s">
        <v>502</v>
      </c>
      <c r="CF53" s="2" t="s">
        <v>562</v>
      </c>
      <c r="CG53" s="217" t="s">
        <v>503</v>
      </c>
      <c r="CH53" s="4" t="s">
        <v>534</v>
      </c>
      <c r="CI53" s="2" t="s">
        <v>501</v>
      </c>
      <c r="CJ53" s="52" t="s">
        <v>3720</v>
      </c>
    </row>
    <row r="54" spans="1:88" x14ac:dyDescent="0.25">
      <c r="A54" s="2" t="s">
        <v>3707</v>
      </c>
      <c r="T54" s="197"/>
      <c r="U54" s="197"/>
      <c r="X54" s="224"/>
      <c r="Y54" s="224"/>
      <c r="Z54" s="224"/>
      <c r="AA54" s="224"/>
      <c r="AB54" s="224"/>
      <c r="AC54" s="224"/>
      <c r="AD54" s="224"/>
      <c r="AE54" s="224"/>
      <c r="AF54" s="224"/>
      <c r="AG54" s="224"/>
      <c r="AH54" s="224"/>
      <c r="AI54" s="224"/>
      <c r="AJ54" s="224"/>
      <c r="AK54" s="224"/>
      <c r="AL54" s="224"/>
      <c r="AM54" s="224"/>
      <c r="AN54" s="224"/>
      <c r="AO54" s="224"/>
      <c r="AP54" s="224"/>
      <c r="AQ54" s="224"/>
      <c r="AR54" s="224"/>
      <c r="AS54" s="224"/>
      <c r="AT54" s="224"/>
      <c r="AZ54" s="225"/>
      <c r="BA54" s="225"/>
      <c r="BB54" s="225"/>
      <c r="BC54" s="225"/>
      <c r="BM54" s="1" t="s">
        <v>3695</v>
      </c>
      <c r="BN54" s="52" t="s">
        <v>513</v>
      </c>
      <c r="BO54" s="52" t="s">
        <v>3696</v>
      </c>
      <c r="BP54" s="52">
        <v>62</v>
      </c>
      <c r="BQ54" s="2">
        <v>1</v>
      </c>
      <c r="BR54" s="2" t="s">
        <v>493</v>
      </c>
      <c r="BS54" s="4" t="s">
        <v>494</v>
      </c>
      <c r="BT54" s="2" t="s">
        <v>495</v>
      </c>
      <c r="BU54" s="2" t="s">
        <v>5</v>
      </c>
      <c r="BV54" s="2" t="s">
        <v>496</v>
      </c>
      <c r="BW54" s="2" t="s">
        <v>497</v>
      </c>
      <c r="BX54" s="4" t="s">
        <v>570</v>
      </c>
      <c r="BY54" s="45">
        <v>0</v>
      </c>
      <c r="BZ54" s="2" t="s">
        <v>499</v>
      </c>
      <c r="CA54" s="2">
        <v>12</v>
      </c>
      <c r="CB54" s="2"/>
      <c r="CC54" s="2" t="s">
        <v>500</v>
      </c>
      <c r="CD54" s="2" t="s">
        <v>519</v>
      </c>
      <c r="CE54" s="2" t="s">
        <v>502</v>
      </c>
      <c r="CF54" s="2" t="s">
        <v>562</v>
      </c>
      <c r="CG54" s="217" t="s">
        <v>533</v>
      </c>
      <c r="CH54" s="4" t="s">
        <v>534</v>
      </c>
      <c r="CI54" s="2" t="s">
        <v>519</v>
      </c>
      <c r="CJ54" s="52">
        <v>656</v>
      </c>
    </row>
    <row r="55" spans="1:88" x14ac:dyDescent="0.25">
      <c r="A55" s="2" t="s">
        <v>3708</v>
      </c>
      <c r="T55" s="197"/>
      <c r="U55" s="197"/>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Z55" s="225"/>
      <c r="BA55" s="225"/>
      <c r="BB55" s="225"/>
      <c r="BC55" s="225"/>
      <c r="BM55" s="1" t="s">
        <v>3700</v>
      </c>
      <c r="BN55" s="52" t="s">
        <v>513</v>
      </c>
      <c r="BO55" s="52" t="s">
        <v>3499</v>
      </c>
      <c r="BP55" s="52" t="s">
        <v>499</v>
      </c>
      <c r="BQ55" s="2" t="s">
        <v>499</v>
      </c>
      <c r="BR55" s="2" t="s">
        <v>527</v>
      </c>
      <c r="BS55" s="4" t="s">
        <v>568</v>
      </c>
      <c r="BT55" s="2" t="s">
        <v>495</v>
      </c>
      <c r="BU55" s="2" t="s">
        <v>5</v>
      </c>
      <c r="BV55" s="2" t="s">
        <v>528</v>
      </c>
      <c r="BW55" s="2" t="s">
        <v>556</v>
      </c>
      <c r="BX55" s="4" t="s">
        <v>3701</v>
      </c>
      <c r="BY55" s="2" t="s">
        <v>499</v>
      </c>
      <c r="BZ55" s="2" t="s">
        <v>499</v>
      </c>
      <c r="CA55" s="2" t="s">
        <v>499</v>
      </c>
      <c r="CB55" s="2"/>
      <c r="CC55" s="2" t="s">
        <v>499</v>
      </c>
      <c r="CD55" s="2" t="s">
        <v>501</v>
      </c>
      <c r="CE55" s="2" t="s">
        <v>544</v>
      </c>
      <c r="CF55" s="2" t="s">
        <v>562</v>
      </c>
      <c r="CG55" s="217" t="s">
        <v>533</v>
      </c>
      <c r="CH55" s="4" t="s">
        <v>360</v>
      </c>
      <c r="CI55" s="2" t="s">
        <v>501</v>
      </c>
      <c r="CJ55" s="52">
        <v>1441</v>
      </c>
    </row>
    <row r="56" spans="1:88" x14ac:dyDescent="0.25">
      <c r="A56" s="2" t="s">
        <v>3709</v>
      </c>
      <c r="T56" s="197"/>
      <c r="U56" s="197"/>
      <c r="X56" s="224"/>
      <c r="Y56" s="224"/>
      <c r="Z56" s="224"/>
      <c r="AA56" s="224"/>
      <c r="AB56" s="224"/>
      <c r="AC56" s="224"/>
      <c r="AD56" s="224"/>
      <c r="AE56" s="224"/>
      <c r="AF56" s="224"/>
      <c r="AG56" s="224"/>
      <c r="AH56" s="69" t="s">
        <v>26</v>
      </c>
      <c r="AI56" s="224"/>
      <c r="AJ56" s="224"/>
      <c r="AK56" s="224"/>
      <c r="AL56" s="224"/>
      <c r="AM56" s="224"/>
      <c r="AN56" s="224"/>
      <c r="AO56" s="224"/>
      <c r="AP56" s="224"/>
      <c r="AQ56" s="224"/>
      <c r="AR56" s="224"/>
      <c r="AS56" s="224"/>
      <c r="AT56" s="224"/>
      <c r="AZ56" s="225"/>
      <c r="BA56" s="225"/>
      <c r="BB56" s="225"/>
      <c r="BC56" s="225"/>
      <c r="BM56" s="1" t="s">
        <v>3700</v>
      </c>
      <c r="BN56" s="52" t="s">
        <v>513</v>
      </c>
      <c r="BO56" s="52" t="s">
        <v>3696</v>
      </c>
      <c r="BP56" s="52" t="s">
        <v>499</v>
      </c>
      <c r="BQ56" s="2" t="s">
        <v>499</v>
      </c>
      <c r="BR56" s="2" t="s">
        <v>527</v>
      </c>
      <c r="BS56" s="4" t="s">
        <v>568</v>
      </c>
      <c r="BT56" s="2" t="s">
        <v>495</v>
      </c>
      <c r="BU56" s="2" t="s">
        <v>5</v>
      </c>
      <c r="BV56" s="2" t="s">
        <v>528</v>
      </c>
      <c r="BW56" s="2" t="s">
        <v>556</v>
      </c>
      <c r="BX56" s="4" t="s">
        <v>3701</v>
      </c>
      <c r="BY56" s="2" t="s">
        <v>499</v>
      </c>
      <c r="BZ56" s="2" t="s">
        <v>499</v>
      </c>
      <c r="CA56" s="2" t="s">
        <v>499</v>
      </c>
      <c r="CB56" s="2"/>
      <c r="CC56" s="2" t="s">
        <v>499</v>
      </c>
      <c r="CD56" s="2" t="s">
        <v>519</v>
      </c>
      <c r="CE56" s="2" t="s">
        <v>544</v>
      </c>
      <c r="CF56" s="2" t="s">
        <v>562</v>
      </c>
      <c r="CG56" s="217" t="s">
        <v>533</v>
      </c>
      <c r="CH56" s="4" t="s">
        <v>534</v>
      </c>
      <c r="CI56" s="2" t="s">
        <v>519</v>
      </c>
      <c r="CJ56" s="52">
        <v>180</v>
      </c>
    </row>
    <row r="57" spans="1:88" x14ac:dyDescent="0.25">
      <c r="A57" s="2" t="s">
        <v>3699</v>
      </c>
      <c r="T57" s="197"/>
      <c r="U57" s="197"/>
      <c r="X57" s="224"/>
      <c r="Y57" s="224"/>
      <c r="Z57" s="224"/>
      <c r="AA57" s="224"/>
      <c r="AB57" s="224"/>
      <c r="AC57" s="224"/>
      <c r="AD57" s="224"/>
      <c r="AE57" s="68" t="s">
        <v>525</v>
      </c>
      <c r="AF57" s="224"/>
      <c r="AG57" s="224"/>
      <c r="AH57" s="69" t="s">
        <v>46</v>
      </c>
      <c r="AI57" s="224"/>
      <c r="AJ57" s="224"/>
      <c r="AK57" s="224"/>
      <c r="AL57" s="224"/>
      <c r="AM57" s="224"/>
      <c r="AN57" s="224"/>
      <c r="AO57" s="224"/>
      <c r="AP57" s="224"/>
      <c r="AQ57" s="224"/>
      <c r="AR57" s="224"/>
      <c r="AS57" s="224"/>
      <c r="AT57" s="224"/>
      <c r="AZ57" s="225"/>
      <c r="BA57" s="225"/>
      <c r="BB57" s="225"/>
      <c r="BC57" s="225"/>
      <c r="BM57" s="1" t="s">
        <v>3700</v>
      </c>
      <c r="BN57" s="52" t="s">
        <v>513</v>
      </c>
      <c r="BO57" s="52" t="s">
        <v>3696</v>
      </c>
      <c r="BP57" s="52" t="s">
        <v>499</v>
      </c>
      <c r="BQ57" s="2" t="s">
        <v>499</v>
      </c>
      <c r="BR57" s="2" t="s">
        <v>527</v>
      </c>
      <c r="BS57" s="4" t="s">
        <v>494</v>
      </c>
      <c r="BT57" s="2" t="s">
        <v>495</v>
      </c>
      <c r="BU57" s="2" t="s">
        <v>5</v>
      </c>
      <c r="BV57" s="2" t="s">
        <v>496</v>
      </c>
      <c r="BW57" s="2" t="s">
        <v>556</v>
      </c>
      <c r="BX57" s="4" t="s">
        <v>3701</v>
      </c>
      <c r="BY57" s="2" t="s">
        <v>499</v>
      </c>
      <c r="BZ57" s="2" t="s">
        <v>499</v>
      </c>
      <c r="CA57" s="2">
        <v>91</v>
      </c>
      <c r="CB57" s="2"/>
      <c r="CC57" s="2" t="s">
        <v>499</v>
      </c>
      <c r="CD57" s="2" t="s">
        <v>501</v>
      </c>
      <c r="CE57" s="2" t="s">
        <v>502</v>
      </c>
      <c r="CF57" s="2" t="s">
        <v>562</v>
      </c>
      <c r="CG57" s="217" t="s">
        <v>533</v>
      </c>
      <c r="CH57" s="4" t="s">
        <v>3713</v>
      </c>
      <c r="CI57" s="2" t="s">
        <v>519</v>
      </c>
      <c r="CJ57" s="52">
        <v>1777</v>
      </c>
    </row>
    <row r="58" spans="1:88" x14ac:dyDescent="0.25">
      <c r="A58" s="2" t="s">
        <v>3710</v>
      </c>
      <c r="T58" s="197"/>
      <c r="U58" s="197"/>
      <c r="X58" s="224"/>
      <c r="Y58" s="224"/>
      <c r="Z58" s="63" t="s">
        <v>43</v>
      </c>
      <c r="AA58" s="224"/>
      <c r="AB58" s="224"/>
      <c r="AC58" s="81" t="s">
        <v>3730</v>
      </c>
      <c r="AD58" s="224"/>
      <c r="AE58" s="224"/>
      <c r="AF58" s="224"/>
      <c r="AG58" s="224"/>
      <c r="AH58" s="224"/>
      <c r="AI58" s="224"/>
      <c r="AJ58" s="224"/>
      <c r="AK58" s="224"/>
      <c r="AL58" s="224"/>
      <c r="AM58" s="224"/>
      <c r="AN58" s="224"/>
      <c r="AO58" s="224"/>
      <c r="AP58" s="224"/>
      <c r="AQ58" s="224"/>
      <c r="AR58" s="224"/>
      <c r="AS58" s="224"/>
      <c r="AT58" s="224"/>
      <c r="AZ58" s="225"/>
      <c r="BA58" s="225"/>
      <c r="BB58" s="225"/>
      <c r="BC58" s="225"/>
      <c r="BM58" s="1" t="s">
        <v>3695</v>
      </c>
      <c r="BN58" s="52" t="s">
        <v>607</v>
      </c>
      <c r="BO58" s="52" t="s">
        <v>3696</v>
      </c>
      <c r="BP58" s="52">
        <v>61</v>
      </c>
      <c r="BQ58" s="2" t="s">
        <v>535</v>
      </c>
      <c r="BR58" s="2" t="s">
        <v>493</v>
      </c>
      <c r="BS58" s="4" t="s">
        <v>494</v>
      </c>
      <c r="BT58" s="2" t="s">
        <v>550</v>
      </c>
      <c r="BU58" s="2" t="s">
        <v>551</v>
      </c>
      <c r="BV58" s="2" t="s">
        <v>496</v>
      </c>
      <c r="BW58" s="2" t="s">
        <v>497</v>
      </c>
      <c r="BX58" s="4" t="s">
        <v>517</v>
      </c>
      <c r="BY58" s="2" t="s">
        <v>499</v>
      </c>
      <c r="BZ58" s="2">
        <v>3.1</v>
      </c>
      <c r="CA58" s="2">
        <v>306</v>
      </c>
      <c r="CB58" s="2"/>
      <c r="CC58" s="2" t="s">
        <v>535</v>
      </c>
      <c r="CD58" s="2" t="s">
        <v>501</v>
      </c>
      <c r="CE58" s="2" t="s">
        <v>544</v>
      </c>
      <c r="CF58" s="2" t="s">
        <v>562</v>
      </c>
      <c r="CG58" s="217" t="s">
        <v>503</v>
      </c>
      <c r="CH58" s="4" t="s">
        <v>360</v>
      </c>
      <c r="CI58" s="2" t="s">
        <v>519</v>
      </c>
      <c r="CJ58" s="52" t="s">
        <v>3721</v>
      </c>
    </row>
    <row r="59" spans="1:88" x14ac:dyDescent="0.25">
      <c r="A59" s="2" t="s">
        <v>3711</v>
      </c>
      <c r="T59" s="197"/>
      <c r="U59" s="197"/>
      <c r="X59" s="224"/>
      <c r="Y59" s="224"/>
      <c r="Z59" s="224"/>
      <c r="AA59" s="80" t="s">
        <v>26</v>
      </c>
      <c r="AB59" s="224"/>
      <c r="AC59" s="81" t="s">
        <v>33</v>
      </c>
      <c r="AD59" s="224"/>
      <c r="AE59" s="224"/>
      <c r="AF59" s="224"/>
      <c r="AG59" s="224"/>
      <c r="AH59" s="224"/>
      <c r="AI59" s="224"/>
      <c r="AJ59" s="223" t="s">
        <v>46</v>
      </c>
      <c r="AK59" s="224"/>
      <c r="AL59" s="224"/>
      <c r="AM59" s="224"/>
      <c r="AN59" s="224"/>
      <c r="AO59" s="224"/>
      <c r="AP59" s="224"/>
      <c r="AQ59" s="224"/>
      <c r="AR59" s="224"/>
      <c r="AS59" s="224"/>
      <c r="AT59" s="224"/>
      <c r="AZ59" s="225"/>
      <c r="BA59" s="225"/>
      <c r="BB59" s="225"/>
      <c r="BC59" s="225"/>
      <c r="BM59" s="1" t="s">
        <v>3695</v>
      </c>
      <c r="BN59" s="52" t="s">
        <v>513</v>
      </c>
      <c r="BO59" s="52" t="s">
        <v>3499</v>
      </c>
      <c r="BP59" s="52">
        <v>59</v>
      </c>
      <c r="BQ59" s="2" t="s">
        <v>535</v>
      </c>
      <c r="BR59" s="2" t="s">
        <v>493</v>
      </c>
      <c r="BS59" s="4" t="s">
        <v>568</v>
      </c>
      <c r="BT59" s="2" t="s">
        <v>550</v>
      </c>
      <c r="BU59" s="2" t="s">
        <v>5</v>
      </c>
      <c r="BV59" s="2" t="s">
        <v>496</v>
      </c>
      <c r="BW59" s="2" t="s">
        <v>529</v>
      </c>
      <c r="BX59" s="4" t="s">
        <v>585</v>
      </c>
      <c r="BY59" s="2" t="s">
        <v>499</v>
      </c>
      <c r="BZ59" s="2">
        <v>6.8</v>
      </c>
      <c r="CA59" s="2">
        <v>39.1</v>
      </c>
      <c r="CB59" s="2"/>
      <c r="CC59" s="2" t="s">
        <v>518</v>
      </c>
      <c r="CD59" s="2" t="s">
        <v>501</v>
      </c>
      <c r="CE59" s="2" t="s">
        <v>544</v>
      </c>
      <c r="CF59" s="2" t="s">
        <v>562</v>
      </c>
      <c r="CG59" s="217" t="s">
        <v>533</v>
      </c>
      <c r="CH59" s="4" t="s">
        <v>3715</v>
      </c>
      <c r="CI59" s="2" t="s">
        <v>501</v>
      </c>
      <c r="CJ59" s="52">
        <v>755</v>
      </c>
    </row>
    <row r="60" spans="1:88" x14ac:dyDescent="0.25">
      <c r="A60" s="2" t="s">
        <v>3712</v>
      </c>
      <c r="T60" s="197"/>
      <c r="U60" s="197"/>
      <c r="X60" s="224"/>
      <c r="Y60" s="63" t="s">
        <v>49</v>
      </c>
      <c r="Z60" s="224"/>
      <c r="AA60" s="224"/>
      <c r="AB60" s="224"/>
      <c r="AC60" s="224"/>
      <c r="AD60" s="224"/>
      <c r="AE60" s="224"/>
      <c r="AF60" s="224"/>
      <c r="AG60" s="224"/>
      <c r="AH60" s="224"/>
      <c r="AI60" s="224"/>
      <c r="AJ60" s="224"/>
      <c r="AK60" s="224"/>
      <c r="AL60" s="224"/>
      <c r="AM60" s="224"/>
      <c r="AN60" s="224"/>
      <c r="AO60" s="224"/>
      <c r="AP60" s="224"/>
      <c r="AQ60" s="224"/>
      <c r="AR60" s="224"/>
      <c r="AS60" s="224"/>
      <c r="AT60" s="224"/>
      <c r="AZ60" s="225"/>
      <c r="BA60" s="225"/>
      <c r="BB60" s="225"/>
      <c r="BC60" s="225"/>
      <c r="BM60" s="1" t="s">
        <v>3695</v>
      </c>
      <c r="BN60" s="52" t="s">
        <v>3697</v>
      </c>
      <c r="BO60" s="52" t="s">
        <v>3696</v>
      </c>
      <c r="BP60" s="52" t="s">
        <v>3697</v>
      </c>
      <c r="BQ60" s="2" t="s">
        <v>3697</v>
      </c>
      <c r="BR60" s="2" t="s">
        <v>3697</v>
      </c>
      <c r="BS60" s="4" t="s">
        <v>3697</v>
      </c>
      <c r="BT60" s="2" t="s">
        <v>3697</v>
      </c>
      <c r="BU60" s="2" t="s">
        <v>3697</v>
      </c>
      <c r="BV60" s="2" t="s">
        <v>3697</v>
      </c>
      <c r="BW60" s="2" t="s">
        <v>3697</v>
      </c>
      <c r="BX60" s="4" t="s">
        <v>3697</v>
      </c>
      <c r="BY60" s="4" t="s">
        <v>3697</v>
      </c>
      <c r="BZ60" s="2" t="s">
        <v>3697</v>
      </c>
      <c r="CA60" s="2" t="s">
        <v>3697</v>
      </c>
      <c r="CB60" s="2"/>
      <c r="CC60" s="2" t="s">
        <v>3697</v>
      </c>
      <c r="CD60" s="2" t="s">
        <v>3697</v>
      </c>
      <c r="CE60" s="2" t="s">
        <v>3697</v>
      </c>
      <c r="CF60" s="2" t="s">
        <v>3697</v>
      </c>
      <c r="CG60" s="217" t="s">
        <v>3697</v>
      </c>
      <c r="CH60" s="4" t="s">
        <v>3697</v>
      </c>
      <c r="CI60" s="2" t="s">
        <v>3697</v>
      </c>
      <c r="CJ60" s="52" t="s">
        <v>3697</v>
      </c>
    </row>
    <row r="61" spans="1:88" x14ac:dyDescent="0.25">
      <c r="A61" s="2" t="s">
        <v>3694</v>
      </c>
      <c r="T61" s="197"/>
      <c r="U61" s="197"/>
      <c r="X61" s="224"/>
      <c r="Y61" s="224"/>
      <c r="Z61" s="224"/>
      <c r="AA61" s="80" t="s">
        <v>33</v>
      </c>
      <c r="AB61" s="224"/>
      <c r="AC61" s="224"/>
      <c r="AD61" s="224"/>
      <c r="AE61" s="68" t="s">
        <v>3729</v>
      </c>
      <c r="AF61" s="224"/>
      <c r="AG61" s="224"/>
      <c r="AH61" s="224"/>
      <c r="AI61" s="224"/>
      <c r="AJ61" s="83" t="s">
        <v>603</v>
      </c>
      <c r="AK61" s="224"/>
      <c r="AL61" s="224"/>
      <c r="AM61" s="224"/>
      <c r="AN61" s="224"/>
      <c r="AO61" s="224"/>
      <c r="AP61" s="224"/>
      <c r="AQ61" s="224"/>
      <c r="AR61" s="224"/>
      <c r="AS61" s="224"/>
      <c r="AT61" s="224"/>
      <c r="AZ61" s="225"/>
      <c r="BA61" s="225"/>
      <c r="BB61" s="225"/>
      <c r="BC61" s="225"/>
      <c r="BM61" s="1" t="s">
        <v>3695</v>
      </c>
      <c r="BN61" s="52" t="s">
        <v>3697</v>
      </c>
      <c r="BO61" s="52" t="s">
        <v>3696</v>
      </c>
      <c r="BP61" s="52" t="s">
        <v>3697</v>
      </c>
      <c r="BQ61" s="2" t="s">
        <v>3697</v>
      </c>
      <c r="BR61" s="2" t="s">
        <v>3697</v>
      </c>
      <c r="BS61" s="4" t="s">
        <v>3697</v>
      </c>
      <c r="BT61" s="2" t="s">
        <v>3697</v>
      </c>
      <c r="BU61" s="2" t="s">
        <v>3697</v>
      </c>
      <c r="BV61" s="2" t="s">
        <v>3697</v>
      </c>
      <c r="BW61" s="2" t="s">
        <v>3697</v>
      </c>
      <c r="BX61" s="4" t="s">
        <v>3697</v>
      </c>
      <c r="BY61" s="4" t="s">
        <v>3697</v>
      </c>
      <c r="BZ61" s="2" t="s">
        <v>3697</v>
      </c>
      <c r="CA61" s="2" t="s">
        <v>3697</v>
      </c>
      <c r="CB61" s="2"/>
      <c r="CC61" s="2" t="s">
        <v>3697</v>
      </c>
      <c r="CD61" s="2" t="s">
        <v>3697</v>
      </c>
      <c r="CE61" s="2" t="s">
        <v>3697</v>
      </c>
      <c r="CF61" s="2" t="s">
        <v>3697</v>
      </c>
      <c r="CG61" s="217" t="s">
        <v>3697</v>
      </c>
      <c r="CH61" s="4" t="s">
        <v>3697</v>
      </c>
      <c r="CI61" s="2" t="s">
        <v>3697</v>
      </c>
      <c r="CJ61" s="52" t="s">
        <v>3697</v>
      </c>
    </row>
    <row r="62" spans="1:88" x14ac:dyDescent="0.25">
      <c r="A62" s="2" t="s">
        <v>3704</v>
      </c>
      <c r="T62" s="197"/>
      <c r="U62" s="197"/>
      <c r="Y62" s="197"/>
      <c r="Z62" s="197"/>
      <c r="AZ62" s="225"/>
      <c r="BA62" s="225"/>
      <c r="BB62" s="225"/>
      <c r="BC62" s="225"/>
      <c r="BM62" s="1" t="s">
        <v>3695</v>
      </c>
      <c r="BN62" s="52" t="s">
        <v>3697</v>
      </c>
      <c r="BO62" s="52" t="s">
        <v>3499</v>
      </c>
      <c r="BP62" s="52" t="s">
        <v>3697</v>
      </c>
      <c r="BQ62" s="2" t="s">
        <v>3697</v>
      </c>
      <c r="BR62" s="2" t="s">
        <v>3697</v>
      </c>
      <c r="BS62" s="4" t="s">
        <v>3697</v>
      </c>
      <c r="BT62" s="2" t="s">
        <v>3697</v>
      </c>
      <c r="BU62" s="2" t="s">
        <v>3697</v>
      </c>
      <c r="BV62" s="2" t="s">
        <v>3697</v>
      </c>
      <c r="BW62" s="2" t="s">
        <v>3697</v>
      </c>
      <c r="BX62" s="4" t="s">
        <v>3697</v>
      </c>
      <c r="BY62" s="4" t="s">
        <v>3697</v>
      </c>
      <c r="BZ62" s="2" t="s">
        <v>3697</v>
      </c>
      <c r="CA62" s="2" t="s">
        <v>3697</v>
      </c>
      <c r="CB62" s="2"/>
      <c r="CC62" s="2" t="s">
        <v>3697</v>
      </c>
      <c r="CD62" s="2" t="s">
        <v>3697</v>
      </c>
      <c r="CE62" s="2" t="s">
        <v>3697</v>
      </c>
      <c r="CF62" s="2" t="s">
        <v>3697</v>
      </c>
      <c r="CG62" s="217" t="s">
        <v>3697</v>
      </c>
      <c r="CH62" s="4" t="s">
        <v>3697</v>
      </c>
      <c r="CI62" s="2" t="s">
        <v>3697</v>
      </c>
      <c r="CJ62" s="52" t="s">
        <v>3697</v>
      </c>
    </row>
    <row r="63" spans="1:88" x14ac:dyDescent="0.25">
      <c r="T63" s="197"/>
      <c r="U63" s="197"/>
      <c r="Y63" s="197"/>
      <c r="Z63" s="197"/>
      <c r="AZ63" s="225"/>
      <c r="BA63" s="225"/>
      <c r="BB63" s="225"/>
      <c r="BC63" s="225"/>
      <c r="BM63" s="1"/>
    </row>
    <row r="64" spans="1:88" x14ac:dyDescent="0.25">
      <c r="T64" s="197"/>
      <c r="U64" s="197"/>
      <c r="Y64" s="197"/>
      <c r="Z64" s="197"/>
      <c r="AZ64" s="225"/>
      <c r="BA64" s="225"/>
      <c r="BB64" s="225"/>
      <c r="BC64" s="225"/>
      <c r="BM64" s="1"/>
    </row>
    <row r="65" spans="4:80" x14ac:dyDescent="0.25">
      <c r="T65" s="197"/>
      <c r="U65" s="197"/>
      <c r="Y65" s="197"/>
      <c r="Z65" s="197"/>
      <c r="AZ65" s="225"/>
      <c r="BA65" s="225"/>
      <c r="BB65" s="225"/>
      <c r="BC65" s="225"/>
    </row>
    <row r="66" spans="4:80" x14ac:dyDescent="0.25">
      <c r="T66" s="197"/>
      <c r="U66" s="197"/>
      <c r="Y66" s="197"/>
      <c r="Z66" s="197"/>
      <c r="AZ66" s="225"/>
      <c r="BA66" s="225"/>
      <c r="BB66" s="225"/>
      <c r="BC66" s="225"/>
    </row>
    <row r="67" spans="4:80" x14ac:dyDescent="0.25">
      <c r="T67" s="197"/>
      <c r="U67" s="197"/>
      <c r="Y67" s="197"/>
      <c r="Z67" s="197"/>
      <c r="AZ67" s="225"/>
      <c r="BA67" s="225"/>
      <c r="BB67" s="225"/>
      <c r="BC67" s="225"/>
    </row>
    <row r="68" spans="4:80" x14ac:dyDescent="0.25">
      <c r="T68" s="197"/>
      <c r="U68" s="197"/>
      <c r="Y68" s="197"/>
      <c r="Z68" s="197"/>
      <c r="AZ68" s="225"/>
      <c r="BA68" s="225"/>
      <c r="BB68" s="225"/>
      <c r="BC68" s="225"/>
    </row>
    <row r="69" spans="4:80" x14ac:dyDescent="0.25">
      <c r="T69" s="197"/>
      <c r="U69" s="197"/>
      <c r="W69" s="225"/>
      <c r="X69" s="225"/>
      <c r="Y69" s="224"/>
      <c r="Z69" s="224"/>
      <c r="AZ69" s="225"/>
      <c r="BA69" s="225"/>
      <c r="BB69" s="225"/>
      <c r="BC69" s="225"/>
    </row>
    <row r="70" spans="4:80" x14ac:dyDescent="0.25">
      <c r="T70" s="197"/>
      <c r="U70" s="197"/>
      <c r="W70" s="225"/>
      <c r="X70" s="225"/>
      <c r="Y70" s="224"/>
      <c r="Z70" s="224"/>
      <c r="AZ70" s="225"/>
      <c r="BA70" s="225"/>
      <c r="BB70" s="225"/>
      <c r="BC70" s="225"/>
    </row>
    <row r="71" spans="4:80" x14ac:dyDescent="0.25">
      <c r="T71" s="197"/>
      <c r="U71" s="197"/>
      <c r="W71" s="225"/>
      <c r="X71" s="225"/>
      <c r="Y71" s="224"/>
      <c r="Z71" s="224"/>
      <c r="AZ71" s="225"/>
      <c r="BA71" s="225"/>
      <c r="BB71" s="225"/>
      <c r="BC71" s="225"/>
    </row>
    <row r="72" spans="4:80" x14ac:dyDescent="0.25">
      <c r="T72" s="197"/>
      <c r="U72" s="197"/>
      <c r="W72" s="225"/>
      <c r="X72" s="225"/>
      <c r="Y72" s="224"/>
      <c r="Z72" s="224"/>
      <c r="AZ72" s="225"/>
      <c r="BA72" s="225"/>
      <c r="BB72" s="225"/>
      <c r="BC72" s="225"/>
    </row>
    <row r="73" spans="4:80" x14ac:dyDescent="0.25">
      <c r="E73" s="45"/>
      <c r="F73" s="45"/>
      <c r="G73" s="45"/>
      <c r="H73" s="45"/>
      <c r="I73" s="5"/>
      <c r="U73" s="29"/>
      <c r="V73" s="29"/>
      <c r="W73" s="225"/>
      <c r="X73" s="225"/>
      <c r="Y73" s="224"/>
      <c r="Z73" s="224"/>
      <c r="AS73" s="2"/>
      <c r="AT73" s="2"/>
      <c r="AU73" s="2"/>
      <c r="AW73" s="2"/>
      <c r="AX73" s="2"/>
      <c r="AY73" s="2"/>
      <c r="AZ73" s="225"/>
      <c r="BA73" s="225"/>
      <c r="BB73" s="225"/>
      <c r="BC73" s="225"/>
      <c r="BV73" s="29"/>
      <c r="CB73" s="2"/>
    </row>
    <row r="74" spans="4:80" x14ac:dyDescent="0.25">
      <c r="E74" s="45"/>
      <c r="F74" s="45"/>
      <c r="G74" s="45"/>
      <c r="H74" s="45"/>
      <c r="I74" s="5"/>
      <c r="W74" s="225"/>
      <c r="X74" s="225"/>
      <c r="Y74" s="224"/>
      <c r="Z74" s="224"/>
      <c r="AW74" s="2"/>
      <c r="AX74" s="2"/>
      <c r="AY74" s="2"/>
      <c r="AZ74" s="225"/>
      <c r="BA74" s="225"/>
      <c r="BB74" s="225"/>
      <c r="BC74" s="225"/>
      <c r="CB74" s="2"/>
    </row>
    <row r="75" spans="4:80" x14ac:dyDescent="0.25">
      <c r="E75" s="45"/>
      <c r="F75" s="45"/>
      <c r="G75" s="45"/>
      <c r="H75" s="45"/>
      <c r="I75" s="5"/>
      <c r="W75" s="225"/>
      <c r="X75" s="225"/>
      <c r="Y75" s="224"/>
      <c r="Z75" s="224"/>
      <c r="AW75" s="2"/>
      <c r="AX75" s="2"/>
      <c r="AY75" s="2"/>
      <c r="AZ75" s="225"/>
      <c r="BA75" s="225"/>
      <c r="BB75" s="225"/>
      <c r="BC75" s="225"/>
      <c r="CB75" s="2"/>
    </row>
    <row r="76" spans="4:80" x14ac:dyDescent="0.25">
      <c r="D76" s="45"/>
      <c r="E76" s="45"/>
      <c r="F76" s="45"/>
      <c r="G76" s="45"/>
      <c r="H76" s="45"/>
      <c r="I76" s="5"/>
      <c r="W76" s="225"/>
      <c r="X76" s="225"/>
      <c r="Y76" s="224"/>
      <c r="Z76" s="224"/>
      <c r="AW76" s="2"/>
      <c r="AX76" s="2"/>
      <c r="AY76" s="2"/>
      <c r="AZ76" s="225"/>
      <c r="BA76" s="225"/>
      <c r="BB76" s="225"/>
      <c r="BC76" s="225"/>
      <c r="CB76" s="2"/>
    </row>
    <row r="77" spans="4:80" x14ac:dyDescent="0.25">
      <c r="W77" s="225"/>
      <c r="X77" s="225"/>
      <c r="Y77" s="224"/>
      <c r="Z77" s="224"/>
      <c r="AY77" s="2"/>
      <c r="AZ77" s="225"/>
      <c r="BA77" s="225"/>
      <c r="BB77" s="225"/>
      <c r="BC77" s="225"/>
      <c r="CB77" s="2"/>
    </row>
    <row r="78" spans="4:80" x14ac:dyDescent="0.25">
      <c r="W78" s="225"/>
      <c r="X78" s="225"/>
      <c r="Y78" s="224"/>
      <c r="Z78" s="224"/>
      <c r="AZ78" s="225"/>
      <c r="BA78" s="225"/>
      <c r="BB78" s="225"/>
      <c r="BC78" s="225"/>
      <c r="BX78" s="29"/>
      <c r="CB78" s="2"/>
    </row>
    <row r="79" spans="4:80" x14ac:dyDescent="0.25">
      <c r="W79" s="225"/>
      <c r="X79" s="225"/>
      <c r="Y79" s="224"/>
      <c r="Z79" s="224"/>
      <c r="AZ79" s="225"/>
      <c r="BA79" s="225"/>
      <c r="BB79" s="225"/>
      <c r="BC79" s="225"/>
      <c r="BX79" s="29"/>
      <c r="CB79" s="2"/>
    </row>
    <row r="80" spans="4:80" x14ac:dyDescent="0.25">
      <c r="W80" s="225"/>
      <c r="X80" s="225"/>
      <c r="Y80" s="224"/>
      <c r="Z80" s="224"/>
      <c r="AZ80" s="225"/>
      <c r="BA80" s="225"/>
      <c r="BB80" s="225"/>
      <c r="BC80" s="225"/>
      <c r="BX80" s="29"/>
      <c r="CB80" s="2"/>
    </row>
    <row r="81" spans="23:80" x14ac:dyDescent="0.25">
      <c r="W81" s="225"/>
      <c r="X81" s="225"/>
      <c r="Y81" s="224"/>
      <c r="Z81" s="224"/>
      <c r="AZ81" s="225"/>
      <c r="BA81" s="225"/>
      <c r="BB81" s="225"/>
      <c r="BC81" s="225"/>
      <c r="BX81" s="29"/>
      <c r="CB81" s="2"/>
    </row>
    <row r="82" spans="23:80" x14ac:dyDescent="0.25">
      <c r="W82" s="225"/>
      <c r="X82" s="225"/>
      <c r="Y82" s="224"/>
      <c r="Z82" s="224"/>
      <c r="AZ82" s="225"/>
      <c r="BA82" s="225"/>
      <c r="BB82" s="225"/>
      <c r="BC82" s="225"/>
      <c r="BX82" s="29"/>
      <c r="CB82" s="2"/>
    </row>
    <row r="83" spans="23:80" x14ac:dyDescent="0.25">
      <c r="W83" s="225"/>
      <c r="X83" s="225"/>
      <c r="Y83" s="224"/>
      <c r="Z83" s="224"/>
      <c r="AZ83" s="225"/>
      <c r="BA83" s="225"/>
      <c r="BB83" s="225"/>
      <c r="BC83" s="225"/>
    </row>
    <row r="84" spans="23:80" x14ac:dyDescent="0.25">
      <c r="W84" s="225"/>
      <c r="X84" s="225"/>
      <c r="Y84" s="224"/>
      <c r="Z84" s="224"/>
      <c r="AZ84" s="225"/>
      <c r="BA84" s="225"/>
      <c r="BB84" s="225"/>
      <c r="BC84" s="225"/>
    </row>
    <row r="85" spans="23:80" x14ac:dyDescent="0.25">
      <c r="W85" s="225"/>
      <c r="X85" s="225"/>
      <c r="Y85" s="224"/>
      <c r="Z85" s="224"/>
      <c r="AZ85" s="225"/>
      <c r="BA85" s="225"/>
      <c r="BB85" s="225"/>
      <c r="BC85" s="225"/>
    </row>
    <row r="86" spans="23:80" x14ac:dyDescent="0.25">
      <c r="W86" s="225"/>
      <c r="X86" s="225"/>
      <c r="Y86" s="224"/>
      <c r="Z86" s="224"/>
      <c r="AZ86" s="225"/>
      <c r="BA86" s="225"/>
      <c r="BB86" s="225"/>
      <c r="BC86" s="225"/>
    </row>
    <row r="87" spans="23:80" x14ac:dyDescent="0.25">
      <c r="W87" s="225"/>
      <c r="X87" s="225"/>
      <c r="Y87" s="224"/>
      <c r="Z87" s="224"/>
      <c r="AZ87" s="225"/>
      <c r="BA87" s="225"/>
      <c r="BB87" s="225"/>
      <c r="BC87" s="225"/>
    </row>
    <row r="88" spans="23:80" x14ac:dyDescent="0.25">
      <c r="W88" s="225"/>
      <c r="X88" s="225"/>
      <c r="Y88" s="224"/>
      <c r="Z88" s="224"/>
      <c r="AZ88" s="225"/>
      <c r="BA88" s="225"/>
      <c r="BB88" s="225"/>
      <c r="BC88" s="225"/>
    </row>
    <row r="89" spans="23:80" x14ac:dyDescent="0.25">
      <c r="W89" s="225"/>
      <c r="X89" s="225"/>
      <c r="Y89" s="224"/>
      <c r="Z89" s="224"/>
    </row>
    <row r="90" spans="23:80" x14ac:dyDescent="0.25">
      <c r="W90" s="225"/>
      <c r="X90" s="225"/>
      <c r="Y90" s="224"/>
      <c r="Z90" s="224"/>
    </row>
    <row r="91" spans="23:80" x14ac:dyDescent="0.25">
      <c r="W91" s="225"/>
      <c r="X91" s="225"/>
      <c r="Y91" s="224"/>
      <c r="Z91" s="224"/>
    </row>
    <row r="92" spans="23:80" x14ac:dyDescent="0.25">
      <c r="X92" s="224"/>
      <c r="Y92" s="224"/>
      <c r="Z92" s="224"/>
      <c r="AA92" s="224"/>
      <c r="AB92" s="224"/>
      <c r="AC92" s="225"/>
      <c r="AD92" s="224"/>
      <c r="AE92" s="224"/>
      <c r="AF92" s="224"/>
      <c r="AG92" s="224"/>
      <c r="AH92" s="224"/>
      <c r="AI92" s="224"/>
      <c r="AJ92" s="224"/>
      <c r="AK92" s="224"/>
    </row>
    <row r="93" spans="23:80" x14ac:dyDescent="0.25">
      <c r="X93" s="224"/>
      <c r="Y93" s="224"/>
      <c r="Z93" s="224"/>
      <c r="AA93" s="224"/>
      <c r="AB93" s="224"/>
      <c r="AC93" s="225"/>
      <c r="AD93" s="224"/>
      <c r="AE93" s="224"/>
      <c r="AF93" s="224"/>
      <c r="AG93" s="224"/>
      <c r="AH93" s="224"/>
      <c r="AI93" s="224"/>
      <c r="AJ93" s="224"/>
      <c r="AK93" s="224"/>
    </row>
  </sheetData>
  <autoFilter ref="A4:EL4">
    <sortState ref="A5:EL42">
      <sortCondition ref="K4"/>
    </sortState>
  </autoFilter>
  <sortState ref="A1:EK42">
    <sortCondition ref="J9"/>
  </sortState>
  <mergeCells count="10">
    <mergeCell ref="CK2:CT2"/>
    <mergeCell ref="CU2:DQ2"/>
    <mergeCell ref="DR2:EL2"/>
    <mergeCell ref="C2:H2"/>
    <mergeCell ref="T2:AT2"/>
    <mergeCell ref="BF2:BL2"/>
    <mergeCell ref="I2:S2"/>
    <mergeCell ref="BM2:CJ2"/>
    <mergeCell ref="AW2:BE2"/>
    <mergeCell ref="AU2:AV2"/>
  </mergeCells>
  <conditionalFormatting sqref="DR6:EL11 DR30:EL42 DR13:EL28">
    <cfRule type="cellIs" dxfId="3" priority="1" operator="between">
      <formula>0.05</formula>
      <formula>0.1</formula>
    </cfRule>
    <cfRule type="cellIs" dxfId="2" priority="2" operator="between">
      <formula>0.1</formula>
      <formula>0.15</formula>
    </cfRule>
    <cfRule type="cellIs" dxfId="1" priority="3" operator="between">
      <formula>0.15</formula>
      <formula>0.2</formula>
    </cfRule>
    <cfRule type="cellIs" dxfId="0" priority="4"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5"/>
  <sheetViews>
    <sheetView zoomScale="70" zoomScaleNormal="70" workbookViewId="0">
      <selection activeCell="A2" sqref="A2"/>
    </sheetView>
  </sheetViews>
  <sheetFormatPr defaultRowHeight="15" x14ac:dyDescent="0.25"/>
  <cols>
    <col min="1" max="1" width="14.7109375" style="2" customWidth="1"/>
    <col min="2" max="2" width="22.42578125" style="2" customWidth="1"/>
    <col min="3" max="3" width="28.42578125" style="2" customWidth="1"/>
    <col min="4" max="4" width="15.42578125" style="2" bestFit="1" customWidth="1"/>
    <col min="5" max="5" width="42.28515625" style="2" bestFit="1" customWidth="1"/>
    <col min="6" max="6" width="42.7109375" style="2" bestFit="1" customWidth="1"/>
    <col min="7" max="7" width="13.140625" style="2" bestFit="1" customWidth="1"/>
    <col min="8" max="8" width="9.140625" style="2"/>
    <col min="9" max="9" width="10.42578125" style="2" customWidth="1"/>
    <col min="10" max="13" width="9.140625" style="2"/>
    <col min="14" max="14" width="10.140625" style="2" customWidth="1"/>
    <col min="15" max="16384" width="9.140625" style="2"/>
  </cols>
  <sheetData>
    <row r="1" spans="1:14" x14ac:dyDescent="0.25">
      <c r="A1" s="1" t="s">
        <v>3760</v>
      </c>
      <c r="H1" s="197"/>
      <c r="I1" s="192"/>
      <c r="J1" s="94"/>
      <c r="M1" s="192"/>
    </row>
    <row r="2" spans="1:14" ht="60" x14ac:dyDescent="0.25">
      <c r="A2" s="205" t="s">
        <v>3559</v>
      </c>
      <c r="B2" s="206" t="s">
        <v>3560</v>
      </c>
      <c r="C2" s="207" t="s">
        <v>3561</v>
      </c>
      <c r="D2" s="207" t="s">
        <v>3116</v>
      </c>
      <c r="E2" s="207" t="s">
        <v>3562</v>
      </c>
      <c r="F2" s="207" t="s">
        <v>3563</v>
      </c>
      <c r="G2" s="207" t="s">
        <v>3564</v>
      </c>
      <c r="H2" s="106" t="s">
        <v>3565</v>
      </c>
      <c r="I2" s="106" t="s">
        <v>3566</v>
      </c>
      <c r="J2" s="105" t="s">
        <v>3567</v>
      </c>
      <c r="K2" s="106" t="s">
        <v>3568</v>
      </c>
      <c r="L2" s="106" t="s">
        <v>3569</v>
      </c>
      <c r="M2" s="193" t="s">
        <v>3570</v>
      </c>
      <c r="N2" s="222" t="s">
        <v>3725</v>
      </c>
    </row>
    <row r="3" spans="1:14" x14ac:dyDescent="0.25">
      <c r="A3" s="205"/>
      <c r="B3" s="206"/>
      <c r="C3" s="207"/>
      <c r="D3" s="207"/>
      <c r="E3" s="207"/>
      <c r="F3" s="207"/>
      <c r="G3" s="207"/>
      <c r="H3" s="106"/>
      <c r="I3" s="106"/>
      <c r="J3" s="105"/>
      <c r="K3" s="106"/>
      <c r="L3" s="106"/>
      <c r="M3" s="193"/>
    </row>
    <row r="4" spans="1:14" x14ac:dyDescent="0.25">
      <c r="A4" s="107" t="s">
        <v>619</v>
      </c>
      <c r="B4" s="108" t="s">
        <v>630</v>
      </c>
      <c r="C4" s="109" t="s">
        <v>621</v>
      </c>
      <c r="D4" s="109" t="s">
        <v>3117</v>
      </c>
      <c r="E4" s="110" t="s">
        <v>628</v>
      </c>
      <c r="F4" s="110" t="s">
        <v>629</v>
      </c>
      <c r="G4" s="110" t="s">
        <v>625</v>
      </c>
      <c r="H4" s="61">
        <v>209</v>
      </c>
      <c r="I4" s="61">
        <v>65</v>
      </c>
      <c r="J4" s="200">
        <f t="shared" ref="J4:J67" si="0">I4/H4</f>
        <v>0.31100478468899523</v>
      </c>
      <c r="K4" s="61">
        <v>1320</v>
      </c>
      <c r="L4" s="61">
        <v>0</v>
      </c>
      <c r="M4" s="208">
        <f t="shared" ref="M4:M67" si="1">L4/K4</f>
        <v>0</v>
      </c>
      <c r="N4" s="2" t="s">
        <v>3724</v>
      </c>
    </row>
    <row r="5" spans="1:14" x14ac:dyDescent="0.25">
      <c r="A5" s="107" t="s">
        <v>619</v>
      </c>
      <c r="B5" s="108" t="s">
        <v>627</v>
      </c>
      <c r="C5" s="109" t="s">
        <v>621</v>
      </c>
      <c r="D5" s="109" t="s">
        <v>3117</v>
      </c>
      <c r="E5" s="110" t="s">
        <v>623</v>
      </c>
      <c r="F5" s="110" t="s">
        <v>624</v>
      </c>
      <c r="G5" s="110" t="s">
        <v>625</v>
      </c>
      <c r="H5" s="61">
        <v>844</v>
      </c>
      <c r="I5" s="61">
        <v>208</v>
      </c>
      <c r="J5" s="200">
        <f t="shared" si="0"/>
        <v>0.24644549763033174</v>
      </c>
      <c r="K5" s="61">
        <v>924</v>
      </c>
      <c r="L5" s="61">
        <v>0</v>
      </c>
      <c r="M5" s="208">
        <f t="shared" si="1"/>
        <v>0</v>
      </c>
      <c r="N5" s="2" t="s">
        <v>3724</v>
      </c>
    </row>
    <row r="6" spans="1:14" x14ac:dyDescent="0.25">
      <c r="A6" s="107" t="s">
        <v>619</v>
      </c>
      <c r="B6" s="108" t="s">
        <v>634</v>
      </c>
      <c r="C6" s="109" t="s">
        <v>631</v>
      </c>
      <c r="D6" s="109" t="s">
        <v>3117</v>
      </c>
      <c r="E6" s="110" t="s">
        <v>632</v>
      </c>
      <c r="F6" s="110" t="s">
        <v>633</v>
      </c>
      <c r="G6" s="110" t="s">
        <v>625</v>
      </c>
      <c r="H6" s="61">
        <v>655</v>
      </c>
      <c r="I6" s="61">
        <v>292</v>
      </c>
      <c r="J6" s="200">
        <f t="shared" si="0"/>
        <v>0.44580152671755724</v>
      </c>
      <c r="K6" s="61">
        <v>728</v>
      </c>
      <c r="L6" s="61">
        <v>0</v>
      </c>
      <c r="M6" s="208">
        <f t="shared" si="1"/>
        <v>0</v>
      </c>
      <c r="N6" s="2" t="s">
        <v>3724</v>
      </c>
    </row>
    <row r="7" spans="1:14" x14ac:dyDescent="0.25">
      <c r="A7" s="107" t="s">
        <v>635</v>
      </c>
      <c r="B7" s="108" t="s">
        <v>638</v>
      </c>
      <c r="C7" s="109" t="s">
        <v>621</v>
      </c>
      <c r="D7" s="109" t="s">
        <v>3117</v>
      </c>
      <c r="E7" s="110" t="s">
        <v>636</v>
      </c>
      <c r="F7" s="110" t="s">
        <v>637</v>
      </c>
      <c r="G7" s="110" t="s">
        <v>625</v>
      </c>
      <c r="H7" s="61">
        <v>554</v>
      </c>
      <c r="I7" s="61">
        <v>211</v>
      </c>
      <c r="J7" s="200">
        <f t="shared" si="0"/>
        <v>0.38086642599277976</v>
      </c>
      <c r="K7" s="61">
        <v>752</v>
      </c>
      <c r="L7" s="61">
        <v>0</v>
      </c>
      <c r="M7" s="208">
        <f t="shared" si="1"/>
        <v>0</v>
      </c>
      <c r="N7" s="2" t="s">
        <v>3724</v>
      </c>
    </row>
    <row r="8" spans="1:14" x14ac:dyDescent="0.25">
      <c r="A8" s="107" t="s">
        <v>639</v>
      </c>
      <c r="B8" s="108" t="s">
        <v>642</v>
      </c>
      <c r="C8" s="109" t="s">
        <v>631</v>
      </c>
      <c r="D8" s="109" t="s">
        <v>3117</v>
      </c>
      <c r="E8" s="110" t="s">
        <v>640</v>
      </c>
      <c r="F8" s="110" t="s">
        <v>641</v>
      </c>
      <c r="G8" s="110" t="s">
        <v>625</v>
      </c>
      <c r="H8" s="61">
        <v>566</v>
      </c>
      <c r="I8" s="61">
        <v>408</v>
      </c>
      <c r="J8" s="200">
        <f t="shared" si="0"/>
        <v>0.72084805653710249</v>
      </c>
      <c r="K8" s="61">
        <v>907</v>
      </c>
      <c r="L8" s="61">
        <v>0</v>
      </c>
      <c r="M8" s="208">
        <f t="shared" si="1"/>
        <v>0</v>
      </c>
      <c r="N8" s="2" t="s">
        <v>3724</v>
      </c>
    </row>
    <row r="9" spans="1:14" x14ac:dyDescent="0.25">
      <c r="A9" s="107" t="s">
        <v>639</v>
      </c>
      <c r="B9" s="108" t="s">
        <v>642</v>
      </c>
      <c r="C9" s="109" t="s">
        <v>631</v>
      </c>
      <c r="D9" s="109" t="s">
        <v>3117</v>
      </c>
      <c r="E9" s="110" t="s">
        <v>643</v>
      </c>
      <c r="F9" s="110" t="s">
        <v>644</v>
      </c>
      <c r="G9" s="110" t="s">
        <v>625</v>
      </c>
      <c r="H9" s="61">
        <v>557</v>
      </c>
      <c r="I9" s="61">
        <v>449</v>
      </c>
      <c r="J9" s="200">
        <f t="shared" si="0"/>
        <v>0.80610412926391384</v>
      </c>
      <c r="K9" s="61">
        <v>383</v>
      </c>
      <c r="L9" s="61">
        <v>0</v>
      </c>
      <c r="M9" s="208">
        <f t="shared" si="1"/>
        <v>0</v>
      </c>
      <c r="N9" s="2" t="s">
        <v>3724</v>
      </c>
    </row>
    <row r="10" spans="1:14" x14ac:dyDescent="0.25">
      <c r="A10" s="107" t="s">
        <v>18</v>
      </c>
      <c r="B10" s="108" t="s">
        <v>651</v>
      </c>
      <c r="C10" s="109" t="s">
        <v>621</v>
      </c>
      <c r="D10" s="109" t="s">
        <v>3117</v>
      </c>
      <c r="E10" s="110" t="s">
        <v>649</v>
      </c>
      <c r="F10" s="110" t="s">
        <v>650</v>
      </c>
      <c r="G10" s="110" t="s">
        <v>625</v>
      </c>
      <c r="H10" s="61">
        <v>529</v>
      </c>
      <c r="I10" s="61">
        <v>92</v>
      </c>
      <c r="J10" s="200">
        <f t="shared" si="0"/>
        <v>0.17391304347826086</v>
      </c>
      <c r="K10" s="61">
        <v>748</v>
      </c>
      <c r="L10" s="61">
        <v>0</v>
      </c>
      <c r="M10" s="209">
        <f t="shared" si="1"/>
        <v>0</v>
      </c>
      <c r="N10" s="2" t="s">
        <v>3724</v>
      </c>
    </row>
    <row r="11" spans="1:14" x14ac:dyDescent="0.25">
      <c r="A11" s="107" t="s">
        <v>18</v>
      </c>
      <c r="B11" s="108" t="s">
        <v>655</v>
      </c>
      <c r="C11" s="109" t="s">
        <v>652</v>
      </c>
      <c r="D11" s="109" t="s">
        <v>3117</v>
      </c>
      <c r="E11" s="110" t="s">
        <v>653</v>
      </c>
      <c r="F11" s="110" t="s">
        <v>654</v>
      </c>
      <c r="G11" s="110" t="s">
        <v>625</v>
      </c>
      <c r="H11" s="61">
        <v>753</v>
      </c>
      <c r="I11" s="61">
        <v>556</v>
      </c>
      <c r="J11" s="200">
        <f t="shared" si="0"/>
        <v>0.73837981407702524</v>
      </c>
      <c r="K11" s="61">
        <v>1425</v>
      </c>
      <c r="L11" s="61">
        <v>0</v>
      </c>
      <c r="M11" s="209">
        <f t="shared" si="1"/>
        <v>0</v>
      </c>
      <c r="N11" s="2" t="s">
        <v>3724</v>
      </c>
    </row>
    <row r="12" spans="1:14" x14ac:dyDescent="0.25">
      <c r="A12" s="107" t="s">
        <v>18</v>
      </c>
      <c r="B12" s="108" t="s">
        <v>658</v>
      </c>
      <c r="C12" s="109" t="s">
        <v>652</v>
      </c>
      <c r="D12" s="109" t="s">
        <v>3117</v>
      </c>
      <c r="E12" s="110" t="s">
        <v>656</v>
      </c>
      <c r="F12" s="110" t="s">
        <v>657</v>
      </c>
      <c r="G12" s="110" t="s">
        <v>625</v>
      </c>
      <c r="H12" s="61">
        <v>383</v>
      </c>
      <c r="I12" s="61">
        <v>217</v>
      </c>
      <c r="J12" s="200">
        <f t="shared" si="0"/>
        <v>0.56657963446475201</v>
      </c>
      <c r="K12" s="61">
        <v>674</v>
      </c>
      <c r="L12" s="61">
        <v>0</v>
      </c>
      <c r="M12" s="209">
        <f t="shared" si="1"/>
        <v>0</v>
      </c>
      <c r="N12" s="2" t="s">
        <v>3724</v>
      </c>
    </row>
    <row r="13" spans="1:14" x14ac:dyDescent="0.25">
      <c r="A13" s="107" t="s">
        <v>18</v>
      </c>
      <c r="B13" s="108" t="s">
        <v>648</v>
      </c>
      <c r="C13" s="109" t="s">
        <v>645</v>
      </c>
      <c r="D13" s="109" t="s">
        <v>3117</v>
      </c>
      <c r="E13" s="110" t="s">
        <v>646</v>
      </c>
      <c r="F13" s="110" t="s">
        <v>647</v>
      </c>
      <c r="G13" s="110" t="s">
        <v>625</v>
      </c>
      <c r="H13" s="61">
        <v>408</v>
      </c>
      <c r="I13" s="61">
        <v>70</v>
      </c>
      <c r="J13" s="200">
        <f t="shared" si="0"/>
        <v>0.17156862745098039</v>
      </c>
      <c r="K13" s="61">
        <v>939</v>
      </c>
      <c r="L13" s="61">
        <v>0</v>
      </c>
      <c r="M13" s="208">
        <f t="shared" si="1"/>
        <v>0</v>
      </c>
      <c r="N13" s="2" t="s">
        <v>3724</v>
      </c>
    </row>
    <row r="14" spans="1:14" x14ac:dyDescent="0.25">
      <c r="A14" s="111" t="s">
        <v>18</v>
      </c>
      <c r="B14" s="112" t="s">
        <v>662</v>
      </c>
      <c r="C14" s="113" t="s">
        <v>659</v>
      </c>
      <c r="D14" s="113" t="s">
        <v>3118</v>
      </c>
      <c r="E14" s="114" t="s">
        <v>660</v>
      </c>
      <c r="F14" s="114" t="s">
        <v>661</v>
      </c>
      <c r="G14" s="115" t="s">
        <v>625</v>
      </c>
      <c r="H14" s="61">
        <v>227</v>
      </c>
      <c r="I14" s="61">
        <v>162</v>
      </c>
      <c r="J14" s="200">
        <f t="shared" si="0"/>
        <v>0.71365638766519823</v>
      </c>
      <c r="K14" s="61">
        <v>377</v>
      </c>
      <c r="L14" s="61">
        <v>0</v>
      </c>
      <c r="M14" s="209">
        <f t="shared" si="1"/>
        <v>0</v>
      </c>
      <c r="N14" s="2" t="s">
        <v>3724</v>
      </c>
    </row>
    <row r="15" spans="1:14" x14ac:dyDescent="0.25">
      <c r="A15" s="111" t="s">
        <v>18</v>
      </c>
      <c r="B15" s="112" t="s">
        <v>665</v>
      </c>
      <c r="C15" s="113" t="s">
        <v>659</v>
      </c>
      <c r="D15" s="113" t="s">
        <v>3118</v>
      </c>
      <c r="E15" s="114" t="s">
        <v>663</v>
      </c>
      <c r="F15" s="114" t="s">
        <v>664</v>
      </c>
      <c r="G15" s="115" t="s">
        <v>625</v>
      </c>
      <c r="H15" s="61">
        <v>1081</v>
      </c>
      <c r="I15" s="61">
        <v>236</v>
      </c>
      <c r="J15" s="200">
        <f t="shared" si="0"/>
        <v>0.21831637372802959</v>
      </c>
      <c r="K15" s="61">
        <v>1155</v>
      </c>
      <c r="L15" s="61">
        <v>0</v>
      </c>
      <c r="M15" s="209">
        <f t="shared" si="1"/>
        <v>0</v>
      </c>
      <c r="N15" s="2" t="s">
        <v>3724</v>
      </c>
    </row>
    <row r="16" spans="1:14" x14ac:dyDescent="0.25">
      <c r="A16" s="107" t="s">
        <v>19</v>
      </c>
      <c r="B16" s="108" t="s">
        <v>669</v>
      </c>
      <c r="C16" s="109" t="s">
        <v>621</v>
      </c>
      <c r="D16" s="109" t="s">
        <v>3117</v>
      </c>
      <c r="E16" s="110" t="s">
        <v>667</v>
      </c>
      <c r="F16" s="110" t="s">
        <v>668</v>
      </c>
      <c r="G16" s="110" t="s">
        <v>625</v>
      </c>
      <c r="H16" s="61">
        <v>614</v>
      </c>
      <c r="I16" s="61">
        <v>123</v>
      </c>
      <c r="J16" s="200">
        <f t="shared" si="0"/>
        <v>0.20032573289902281</v>
      </c>
      <c r="K16" s="61">
        <v>827</v>
      </c>
      <c r="L16" s="61">
        <v>1</v>
      </c>
      <c r="M16" s="66">
        <f t="shared" si="1"/>
        <v>1.2091898428053204E-3</v>
      </c>
      <c r="N16" s="2" t="s">
        <v>3724</v>
      </c>
    </row>
    <row r="17" spans="1:14" x14ac:dyDescent="0.25">
      <c r="A17" s="107" t="s">
        <v>19</v>
      </c>
      <c r="B17" s="108" t="s">
        <v>666</v>
      </c>
      <c r="C17" s="109" t="s">
        <v>631</v>
      </c>
      <c r="D17" s="109" t="s">
        <v>3117</v>
      </c>
      <c r="E17" s="110" t="s">
        <v>628</v>
      </c>
      <c r="F17" s="110" t="s">
        <v>629</v>
      </c>
      <c r="G17" s="110" t="s">
        <v>625</v>
      </c>
      <c r="H17" s="61">
        <v>537</v>
      </c>
      <c r="I17" s="61">
        <v>163</v>
      </c>
      <c r="J17" s="200">
        <f t="shared" si="0"/>
        <v>0.30353817504655495</v>
      </c>
      <c r="K17" s="61">
        <v>1202</v>
      </c>
      <c r="L17" s="61">
        <v>0</v>
      </c>
      <c r="M17" s="208">
        <f t="shared" si="1"/>
        <v>0</v>
      </c>
      <c r="N17" s="2" t="s">
        <v>3724</v>
      </c>
    </row>
    <row r="18" spans="1:14" x14ac:dyDescent="0.25">
      <c r="A18" s="107" t="s">
        <v>670</v>
      </c>
      <c r="B18" s="108" t="s">
        <v>671</v>
      </c>
      <c r="C18" s="109" t="s">
        <v>631</v>
      </c>
      <c r="D18" s="109" t="s">
        <v>3117</v>
      </c>
      <c r="E18" s="110" t="s">
        <v>640</v>
      </c>
      <c r="F18" s="110" t="s">
        <v>641</v>
      </c>
      <c r="G18" s="110" t="s">
        <v>625</v>
      </c>
      <c r="H18" s="61">
        <v>752</v>
      </c>
      <c r="I18" s="61">
        <v>576</v>
      </c>
      <c r="J18" s="200">
        <f t="shared" si="0"/>
        <v>0.76595744680851063</v>
      </c>
      <c r="K18" s="61">
        <v>1282</v>
      </c>
      <c r="L18" s="61">
        <v>0</v>
      </c>
      <c r="M18" s="208">
        <f t="shared" si="1"/>
        <v>0</v>
      </c>
      <c r="N18" s="2" t="s">
        <v>3724</v>
      </c>
    </row>
    <row r="19" spans="1:14" x14ac:dyDescent="0.25">
      <c r="A19" s="107" t="s">
        <v>16</v>
      </c>
      <c r="B19" s="108" t="s">
        <v>675</v>
      </c>
      <c r="C19" s="109" t="s">
        <v>621</v>
      </c>
      <c r="D19" s="109" t="s">
        <v>3117</v>
      </c>
      <c r="E19" s="110" t="s">
        <v>653</v>
      </c>
      <c r="F19" s="110" t="s">
        <v>654</v>
      </c>
      <c r="G19" s="110" t="s">
        <v>625</v>
      </c>
      <c r="H19" s="5">
        <v>563</v>
      </c>
      <c r="I19" s="5">
        <v>270</v>
      </c>
      <c r="J19" s="210">
        <f t="shared" si="0"/>
        <v>0.47957371225577267</v>
      </c>
      <c r="K19" s="5">
        <v>1068</v>
      </c>
      <c r="L19" s="5">
        <v>0</v>
      </c>
      <c r="M19" s="211">
        <f t="shared" si="1"/>
        <v>0</v>
      </c>
      <c r="N19" s="2" t="s">
        <v>3724</v>
      </c>
    </row>
    <row r="20" spans="1:14" x14ac:dyDescent="0.25">
      <c r="A20" s="107" t="s">
        <v>16</v>
      </c>
      <c r="B20" s="108" t="s">
        <v>676</v>
      </c>
      <c r="C20" s="109" t="s">
        <v>621</v>
      </c>
      <c r="D20" s="109" t="s">
        <v>3117</v>
      </c>
      <c r="E20" s="110" t="s">
        <v>643</v>
      </c>
      <c r="F20" s="110" t="s">
        <v>644</v>
      </c>
      <c r="G20" s="110" t="s">
        <v>625</v>
      </c>
      <c r="H20" s="5">
        <v>687</v>
      </c>
      <c r="I20" s="5">
        <v>296</v>
      </c>
      <c r="J20" s="210">
        <f t="shared" si="0"/>
        <v>0.43085880640465796</v>
      </c>
      <c r="K20" s="5">
        <v>865</v>
      </c>
      <c r="L20" s="5">
        <v>0</v>
      </c>
      <c r="M20" s="211">
        <f t="shared" si="1"/>
        <v>0</v>
      </c>
      <c r="N20" s="2" t="s">
        <v>3724</v>
      </c>
    </row>
    <row r="21" spans="1:14" x14ac:dyDescent="0.25">
      <c r="A21" s="107" t="s">
        <v>16</v>
      </c>
      <c r="B21" s="108" t="s">
        <v>674</v>
      </c>
      <c r="C21" s="109" t="s">
        <v>621</v>
      </c>
      <c r="D21" s="109" t="s">
        <v>3117</v>
      </c>
      <c r="E21" s="110" t="s">
        <v>672</v>
      </c>
      <c r="F21" s="110" t="s">
        <v>673</v>
      </c>
      <c r="G21" s="110" t="s">
        <v>625</v>
      </c>
      <c r="H21" s="5">
        <v>700</v>
      </c>
      <c r="I21" s="5">
        <v>52</v>
      </c>
      <c r="J21" s="210">
        <f t="shared" si="0"/>
        <v>7.4285714285714288E-2</v>
      </c>
      <c r="K21" s="5">
        <v>524</v>
      </c>
      <c r="L21" s="5">
        <v>0</v>
      </c>
      <c r="M21" s="211">
        <f t="shared" si="1"/>
        <v>0</v>
      </c>
      <c r="N21" s="2" t="s">
        <v>3724</v>
      </c>
    </row>
    <row r="22" spans="1:14" x14ac:dyDescent="0.25">
      <c r="A22" s="107" t="s">
        <v>16</v>
      </c>
      <c r="B22" s="108" t="s">
        <v>680</v>
      </c>
      <c r="C22" s="109" t="s">
        <v>677</v>
      </c>
      <c r="D22" s="109" t="s">
        <v>3117</v>
      </c>
      <c r="E22" s="110" t="s">
        <v>678</v>
      </c>
      <c r="F22" s="110" t="s">
        <v>679</v>
      </c>
      <c r="G22" s="110" t="s">
        <v>625</v>
      </c>
      <c r="H22" s="61">
        <v>267</v>
      </c>
      <c r="I22" s="61">
        <v>58</v>
      </c>
      <c r="J22" s="200">
        <f t="shared" si="0"/>
        <v>0.21722846441947566</v>
      </c>
      <c r="K22" s="61">
        <v>446</v>
      </c>
      <c r="L22" s="61">
        <v>0</v>
      </c>
      <c r="M22" s="208">
        <f t="shared" si="1"/>
        <v>0</v>
      </c>
      <c r="N22" s="2" t="s">
        <v>3724</v>
      </c>
    </row>
    <row r="23" spans="1:14" x14ac:dyDescent="0.25">
      <c r="A23" s="107" t="s">
        <v>16</v>
      </c>
      <c r="B23" s="108" t="s">
        <v>683</v>
      </c>
      <c r="C23" s="109" t="s">
        <v>631</v>
      </c>
      <c r="D23" s="109" t="s">
        <v>3117</v>
      </c>
      <c r="E23" s="110" t="s">
        <v>640</v>
      </c>
      <c r="F23" s="110" t="s">
        <v>641</v>
      </c>
      <c r="G23" s="110" t="s">
        <v>625</v>
      </c>
      <c r="H23" s="61">
        <v>468</v>
      </c>
      <c r="I23" s="61">
        <v>341</v>
      </c>
      <c r="J23" s="200">
        <f t="shared" si="0"/>
        <v>0.7286324786324786</v>
      </c>
      <c r="K23" s="61">
        <v>820</v>
      </c>
      <c r="L23" s="61">
        <v>0</v>
      </c>
      <c r="M23" s="208">
        <f t="shared" si="1"/>
        <v>0</v>
      </c>
      <c r="N23" s="2" t="s">
        <v>3724</v>
      </c>
    </row>
    <row r="24" spans="1:14" x14ac:dyDescent="0.25">
      <c r="A24" s="107" t="s">
        <v>16</v>
      </c>
      <c r="B24" s="108" t="s">
        <v>682</v>
      </c>
      <c r="C24" s="109" t="s">
        <v>631</v>
      </c>
      <c r="D24" s="109" t="s">
        <v>3117</v>
      </c>
      <c r="E24" s="110" t="s">
        <v>628</v>
      </c>
      <c r="F24" s="110" t="s">
        <v>629</v>
      </c>
      <c r="G24" s="110" t="s">
        <v>625</v>
      </c>
      <c r="H24" s="61">
        <v>212</v>
      </c>
      <c r="I24" s="61">
        <v>157</v>
      </c>
      <c r="J24" s="200">
        <f t="shared" si="0"/>
        <v>0.74056603773584906</v>
      </c>
      <c r="K24" s="61">
        <v>960</v>
      </c>
      <c r="L24" s="61">
        <v>0</v>
      </c>
      <c r="M24" s="208">
        <f t="shared" si="1"/>
        <v>0</v>
      </c>
      <c r="N24" s="2" t="s">
        <v>3724</v>
      </c>
    </row>
    <row r="25" spans="1:14" x14ac:dyDescent="0.25">
      <c r="A25" s="107" t="s">
        <v>16</v>
      </c>
      <c r="B25" s="108" t="s">
        <v>681</v>
      </c>
      <c r="C25" s="109" t="s">
        <v>631</v>
      </c>
      <c r="D25" s="109" t="s">
        <v>3117</v>
      </c>
      <c r="E25" s="110" t="s">
        <v>646</v>
      </c>
      <c r="F25" s="110" t="s">
        <v>647</v>
      </c>
      <c r="G25" s="110" t="s">
        <v>625</v>
      </c>
      <c r="H25" s="61">
        <v>502</v>
      </c>
      <c r="I25" s="61">
        <v>350</v>
      </c>
      <c r="J25" s="200">
        <f t="shared" si="0"/>
        <v>0.6972111553784861</v>
      </c>
      <c r="K25" s="61">
        <v>898</v>
      </c>
      <c r="L25" s="61">
        <v>0</v>
      </c>
      <c r="M25" s="208">
        <f t="shared" si="1"/>
        <v>0</v>
      </c>
      <c r="N25" s="2" t="s">
        <v>3724</v>
      </c>
    </row>
    <row r="26" spans="1:14" x14ac:dyDescent="0.25">
      <c r="A26" s="107" t="s">
        <v>16</v>
      </c>
      <c r="B26" s="108" t="s">
        <v>689</v>
      </c>
      <c r="C26" s="109" t="s">
        <v>659</v>
      </c>
      <c r="D26" s="109" t="s">
        <v>3117</v>
      </c>
      <c r="E26" s="110" t="s">
        <v>687</v>
      </c>
      <c r="F26" s="110" t="s">
        <v>688</v>
      </c>
      <c r="G26" s="110" t="s">
        <v>625</v>
      </c>
      <c r="H26" s="61">
        <v>575</v>
      </c>
      <c r="I26" s="61">
        <v>263</v>
      </c>
      <c r="J26" s="200">
        <f t="shared" si="0"/>
        <v>0.4573913043478261</v>
      </c>
      <c r="K26" s="61">
        <v>867</v>
      </c>
      <c r="L26" s="61">
        <v>0</v>
      </c>
      <c r="M26" s="208">
        <f t="shared" si="1"/>
        <v>0</v>
      </c>
      <c r="N26" s="2" t="s">
        <v>3724</v>
      </c>
    </row>
    <row r="27" spans="1:14" x14ac:dyDescent="0.25">
      <c r="A27" s="107" t="s">
        <v>16</v>
      </c>
      <c r="B27" s="108" t="s">
        <v>686</v>
      </c>
      <c r="C27" s="109" t="s">
        <v>659</v>
      </c>
      <c r="D27" s="109" t="s">
        <v>3117</v>
      </c>
      <c r="E27" s="110" t="s">
        <v>684</v>
      </c>
      <c r="F27" s="110" t="s">
        <v>685</v>
      </c>
      <c r="G27" s="110" t="s">
        <v>625</v>
      </c>
      <c r="H27" s="61">
        <v>564</v>
      </c>
      <c r="I27" s="61">
        <v>426</v>
      </c>
      <c r="J27" s="200">
        <f t="shared" si="0"/>
        <v>0.75531914893617025</v>
      </c>
      <c r="K27" s="61">
        <v>801</v>
      </c>
      <c r="L27" s="61">
        <v>0</v>
      </c>
      <c r="M27" s="208">
        <f t="shared" si="1"/>
        <v>0</v>
      </c>
      <c r="N27" s="2" t="s">
        <v>3724</v>
      </c>
    </row>
    <row r="28" spans="1:14" x14ac:dyDescent="0.25">
      <c r="A28" s="107" t="s">
        <v>16</v>
      </c>
      <c r="B28" s="108" t="s">
        <v>626</v>
      </c>
      <c r="C28" s="109" t="s">
        <v>645</v>
      </c>
      <c r="D28" s="109" t="s">
        <v>3117</v>
      </c>
      <c r="E28" s="110" t="s">
        <v>646</v>
      </c>
      <c r="F28" s="110" t="s">
        <v>647</v>
      </c>
      <c r="G28" s="110" t="s">
        <v>625</v>
      </c>
      <c r="H28" s="61">
        <v>480</v>
      </c>
      <c r="I28" s="61">
        <v>337</v>
      </c>
      <c r="J28" s="200">
        <f t="shared" si="0"/>
        <v>0.70208333333333328</v>
      </c>
      <c r="K28" s="61">
        <v>887</v>
      </c>
      <c r="L28" s="61">
        <v>1</v>
      </c>
      <c r="M28" s="66">
        <f t="shared" si="1"/>
        <v>1.1273957158962795E-3</v>
      </c>
      <c r="N28" s="2" t="s">
        <v>3724</v>
      </c>
    </row>
    <row r="29" spans="1:14" x14ac:dyDescent="0.25">
      <c r="A29" s="111" t="s">
        <v>16</v>
      </c>
      <c r="B29" s="112" t="s">
        <v>692</v>
      </c>
      <c r="C29" s="113" t="s">
        <v>677</v>
      </c>
      <c r="D29" s="113" t="s">
        <v>3118</v>
      </c>
      <c r="E29" s="114" t="s">
        <v>690</v>
      </c>
      <c r="F29" s="114" t="s">
        <v>691</v>
      </c>
      <c r="G29" s="114" t="s">
        <v>714</v>
      </c>
      <c r="H29" s="61">
        <v>130</v>
      </c>
      <c r="I29" s="61">
        <v>19</v>
      </c>
      <c r="J29" s="200">
        <f t="shared" si="0"/>
        <v>0.14615384615384616</v>
      </c>
      <c r="K29" s="61">
        <v>834</v>
      </c>
      <c r="L29" s="61">
        <v>0</v>
      </c>
      <c r="M29" s="209">
        <f t="shared" si="1"/>
        <v>0</v>
      </c>
      <c r="N29" s="2" t="s">
        <v>3724</v>
      </c>
    </row>
    <row r="30" spans="1:14" x14ac:dyDescent="0.25">
      <c r="A30" s="111" t="s">
        <v>16</v>
      </c>
      <c r="B30" s="112" t="s">
        <v>695</v>
      </c>
      <c r="C30" s="113" t="s">
        <v>621</v>
      </c>
      <c r="D30" s="113" t="s">
        <v>3118</v>
      </c>
      <c r="E30" s="114" t="s">
        <v>693</v>
      </c>
      <c r="F30" s="114" t="s">
        <v>694</v>
      </c>
      <c r="G30" s="114" t="s">
        <v>625</v>
      </c>
      <c r="H30" s="61">
        <v>761</v>
      </c>
      <c r="I30" s="61">
        <v>237</v>
      </c>
      <c r="J30" s="200">
        <f t="shared" si="0"/>
        <v>0.31143232588699082</v>
      </c>
      <c r="K30" s="61">
        <v>1075</v>
      </c>
      <c r="L30" s="61">
        <v>1</v>
      </c>
      <c r="M30" s="212">
        <f t="shared" si="1"/>
        <v>9.3023255813953494E-4</v>
      </c>
      <c r="N30" s="2" t="s">
        <v>3724</v>
      </c>
    </row>
    <row r="31" spans="1:14" x14ac:dyDescent="0.25">
      <c r="A31" s="107" t="s">
        <v>698</v>
      </c>
      <c r="B31" s="108" t="s">
        <v>702</v>
      </c>
      <c r="C31" s="109" t="s">
        <v>631</v>
      </c>
      <c r="D31" s="109" t="s">
        <v>3117</v>
      </c>
      <c r="E31" s="110" t="s">
        <v>628</v>
      </c>
      <c r="F31" s="110" t="s">
        <v>629</v>
      </c>
      <c r="G31" s="110" t="s">
        <v>625</v>
      </c>
      <c r="H31" s="61">
        <v>301</v>
      </c>
      <c r="I31" s="61">
        <v>130</v>
      </c>
      <c r="J31" s="200">
        <f t="shared" si="0"/>
        <v>0.43189368770764119</v>
      </c>
      <c r="K31" s="61">
        <v>951</v>
      </c>
      <c r="L31" s="61">
        <v>1</v>
      </c>
      <c r="M31" s="66">
        <f t="shared" si="1"/>
        <v>1.0515247108307045E-3</v>
      </c>
      <c r="N31" s="2" t="s">
        <v>3724</v>
      </c>
    </row>
    <row r="32" spans="1:14" x14ac:dyDescent="0.25">
      <c r="A32" s="107" t="s">
        <v>698</v>
      </c>
      <c r="B32" s="108" t="s">
        <v>701</v>
      </c>
      <c r="C32" s="109" t="s">
        <v>659</v>
      </c>
      <c r="D32" s="109" t="s">
        <v>3117</v>
      </c>
      <c r="E32" s="110" t="s">
        <v>699</v>
      </c>
      <c r="F32" s="110" t="s">
        <v>700</v>
      </c>
      <c r="G32" s="110" t="s">
        <v>625</v>
      </c>
      <c r="H32" s="61">
        <v>565</v>
      </c>
      <c r="I32" s="61">
        <v>281</v>
      </c>
      <c r="J32" s="200">
        <f t="shared" si="0"/>
        <v>0.49734513274336284</v>
      </c>
      <c r="K32" s="61">
        <v>417</v>
      </c>
      <c r="L32" s="61">
        <v>0</v>
      </c>
      <c r="M32" s="208">
        <f t="shared" si="1"/>
        <v>0</v>
      </c>
      <c r="N32" s="2" t="s">
        <v>3724</v>
      </c>
    </row>
    <row r="33" spans="1:14" x14ac:dyDescent="0.25">
      <c r="A33" s="107" t="s">
        <v>703</v>
      </c>
      <c r="B33" s="108" t="s">
        <v>706</v>
      </c>
      <c r="C33" s="109" t="s">
        <v>631</v>
      </c>
      <c r="D33" s="109" t="s">
        <v>3117</v>
      </c>
      <c r="E33" s="110" t="s">
        <v>704</v>
      </c>
      <c r="F33" s="110" t="s">
        <v>705</v>
      </c>
      <c r="G33" s="110" t="s">
        <v>625</v>
      </c>
      <c r="H33" s="61">
        <v>891</v>
      </c>
      <c r="I33" s="61">
        <v>124</v>
      </c>
      <c r="J33" s="200">
        <f t="shared" si="0"/>
        <v>0.13916947250280584</v>
      </c>
      <c r="K33" s="61">
        <v>652</v>
      </c>
      <c r="L33" s="61">
        <v>0</v>
      </c>
      <c r="M33" s="208">
        <f t="shared" si="1"/>
        <v>0</v>
      </c>
      <c r="N33" s="2" t="s">
        <v>3724</v>
      </c>
    </row>
    <row r="34" spans="1:14" x14ac:dyDescent="0.25">
      <c r="A34" s="107" t="s">
        <v>707</v>
      </c>
      <c r="B34" s="108" t="s">
        <v>710</v>
      </c>
      <c r="C34" s="109" t="s">
        <v>631</v>
      </c>
      <c r="D34" s="109" t="s">
        <v>3117</v>
      </c>
      <c r="E34" s="110" t="s">
        <v>708</v>
      </c>
      <c r="F34" s="110" t="s">
        <v>709</v>
      </c>
      <c r="G34" s="110" t="s">
        <v>625</v>
      </c>
      <c r="H34" s="61">
        <v>821</v>
      </c>
      <c r="I34" s="61">
        <v>159</v>
      </c>
      <c r="J34" s="200">
        <f t="shared" si="0"/>
        <v>0.19366626065773446</v>
      </c>
      <c r="K34" s="61">
        <v>845</v>
      </c>
      <c r="L34" s="61">
        <v>0</v>
      </c>
      <c r="M34" s="208">
        <f t="shared" si="1"/>
        <v>0</v>
      </c>
      <c r="N34" s="2" t="s">
        <v>3724</v>
      </c>
    </row>
    <row r="35" spans="1:14" x14ac:dyDescent="0.25">
      <c r="A35" s="111" t="s">
        <v>711</v>
      </c>
      <c r="B35" s="112" t="s">
        <v>715</v>
      </c>
      <c r="C35" s="113" t="s">
        <v>621</v>
      </c>
      <c r="D35" s="113" t="s">
        <v>3118</v>
      </c>
      <c r="E35" s="114" t="s">
        <v>712</v>
      </c>
      <c r="F35" s="114" t="s">
        <v>713</v>
      </c>
      <c r="G35" s="114" t="s">
        <v>625</v>
      </c>
      <c r="H35" s="61">
        <v>326</v>
      </c>
      <c r="I35" s="61">
        <v>98</v>
      </c>
      <c r="J35" s="200">
        <f t="shared" si="0"/>
        <v>0.30061349693251532</v>
      </c>
      <c r="K35" s="61">
        <v>1127</v>
      </c>
      <c r="L35" s="61">
        <v>0</v>
      </c>
      <c r="M35" s="209">
        <f t="shared" si="1"/>
        <v>0</v>
      </c>
      <c r="N35" s="2" t="s">
        <v>3724</v>
      </c>
    </row>
    <row r="36" spans="1:14" x14ac:dyDescent="0.25">
      <c r="A36" s="107" t="s">
        <v>716</v>
      </c>
      <c r="B36" s="108" t="s">
        <v>717</v>
      </c>
      <c r="C36" s="109" t="s">
        <v>631</v>
      </c>
      <c r="D36" s="109" t="s">
        <v>3117</v>
      </c>
      <c r="E36" s="110" t="s">
        <v>672</v>
      </c>
      <c r="F36" s="110" t="s">
        <v>673</v>
      </c>
      <c r="G36" s="110" t="s">
        <v>625</v>
      </c>
      <c r="H36" s="61">
        <v>489</v>
      </c>
      <c r="I36" s="61">
        <v>173</v>
      </c>
      <c r="J36" s="200">
        <f t="shared" si="0"/>
        <v>0.35378323108384457</v>
      </c>
      <c r="K36" s="61">
        <v>348</v>
      </c>
      <c r="L36" s="61">
        <v>0</v>
      </c>
      <c r="M36" s="208">
        <f t="shared" si="1"/>
        <v>0</v>
      </c>
      <c r="N36" s="2" t="s">
        <v>3724</v>
      </c>
    </row>
    <row r="37" spans="1:14" x14ac:dyDescent="0.25">
      <c r="A37" s="107" t="s">
        <v>716</v>
      </c>
      <c r="B37" s="108" t="s">
        <v>720</v>
      </c>
      <c r="C37" s="109" t="s">
        <v>631</v>
      </c>
      <c r="D37" s="109" t="s">
        <v>3117</v>
      </c>
      <c r="E37" s="110" t="s">
        <v>718</v>
      </c>
      <c r="F37" s="110" t="s">
        <v>719</v>
      </c>
      <c r="G37" s="110" t="s">
        <v>625</v>
      </c>
      <c r="H37" s="61">
        <v>237</v>
      </c>
      <c r="I37" s="61">
        <v>131</v>
      </c>
      <c r="J37" s="200">
        <f t="shared" si="0"/>
        <v>0.5527426160337553</v>
      </c>
      <c r="K37" s="61">
        <v>283</v>
      </c>
      <c r="L37" s="61">
        <v>1</v>
      </c>
      <c r="M37" s="66">
        <f t="shared" si="1"/>
        <v>3.5335689045936395E-3</v>
      </c>
      <c r="N37" s="2" t="s">
        <v>3724</v>
      </c>
    </row>
    <row r="38" spans="1:14" x14ac:dyDescent="0.25">
      <c r="A38" s="107" t="s">
        <v>409</v>
      </c>
      <c r="B38" s="108" t="s">
        <v>721</v>
      </c>
      <c r="C38" s="109" t="s">
        <v>621</v>
      </c>
      <c r="D38" s="109" t="s">
        <v>3117</v>
      </c>
      <c r="E38" s="110" t="s">
        <v>646</v>
      </c>
      <c r="F38" s="110" t="s">
        <v>647</v>
      </c>
      <c r="G38" s="110" t="s">
        <v>625</v>
      </c>
      <c r="H38" s="61">
        <v>828</v>
      </c>
      <c r="I38" s="61">
        <v>127</v>
      </c>
      <c r="J38" s="200">
        <f t="shared" si="0"/>
        <v>0.15338164251207728</v>
      </c>
      <c r="K38" s="61">
        <v>897</v>
      </c>
      <c r="L38" s="61">
        <v>0</v>
      </c>
      <c r="M38" s="208">
        <f t="shared" si="1"/>
        <v>0</v>
      </c>
      <c r="N38" s="2" t="s">
        <v>3724</v>
      </c>
    </row>
    <row r="39" spans="1:14" x14ac:dyDescent="0.25">
      <c r="A39" s="107" t="s">
        <v>409</v>
      </c>
      <c r="B39" s="108" t="s">
        <v>722</v>
      </c>
      <c r="C39" s="109" t="s">
        <v>631</v>
      </c>
      <c r="D39" s="109" t="s">
        <v>3117</v>
      </c>
      <c r="E39" s="110" t="s">
        <v>708</v>
      </c>
      <c r="F39" s="110" t="s">
        <v>709</v>
      </c>
      <c r="G39" s="110" t="s">
        <v>625</v>
      </c>
      <c r="H39" s="61">
        <v>1357</v>
      </c>
      <c r="I39" s="61">
        <v>308</v>
      </c>
      <c r="J39" s="200">
        <f t="shared" si="0"/>
        <v>0.22697126013264554</v>
      </c>
      <c r="K39" s="61">
        <v>676</v>
      </c>
      <c r="L39" s="61">
        <v>0</v>
      </c>
      <c r="M39" s="208">
        <f t="shared" si="1"/>
        <v>0</v>
      </c>
      <c r="N39" s="2" t="s">
        <v>3724</v>
      </c>
    </row>
    <row r="40" spans="1:14" x14ac:dyDescent="0.25">
      <c r="A40" s="107" t="s">
        <v>725</v>
      </c>
      <c r="B40" s="108" t="s">
        <v>726</v>
      </c>
      <c r="C40" s="109" t="s">
        <v>659</v>
      </c>
      <c r="D40" s="109" t="s">
        <v>3117</v>
      </c>
      <c r="E40" s="110" t="s">
        <v>699</v>
      </c>
      <c r="F40" s="110" t="s">
        <v>700</v>
      </c>
      <c r="G40" s="110" t="s">
        <v>625</v>
      </c>
      <c r="H40" s="61">
        <v>1166</v>
      </c>
      <c r="I40" s="61">
        <v>450</v>
      </c>
      <c r="J40" s="200">
        <f t="shared" si="0"/>
        <v>0.38593481989708406</v>
      </c>
      <c r="K40" s="61">
        <v>978</v>
      </c>
      <c r="L40" s="61">
        <v>0</v>
      </c>
      <c r="M40" s="208">
        <f t="shared" si="1"/>
        <v>0</v>
      </c>
      <c r="N40" s="2" t="s">
        <v>3724</v>
      </c>
    </row>
    <row r="41" spans="1:14" x14ac:dyDescent="0.25">
      <c r="A41" s="107" t="s">
        <v>727</v>
      </c>
      <c r="B41" s="108" t="s">
        <v>728</v>
      </c>
      <c r="C41" s="109" t="s">
        <v>631</v>
      </c>
      <c r="D41" s="109" t="s">
        <v>3117</v>
      </c>
      <c r="E41" s="110" t="s">
        <v>640</v>
      </c>
      <c r="F41" s="110" t="s">
        <v>641</v>
      </c>
      <c r="G41" s="110" t="s">
        <v>625</v>
      </c>
      <c r="H41" s="61">
        <v>533</v>
      </c>
      <c r="I41" s="61">
        <v>423</v>
      </c>
      <c r="J41" s="200">
        <f t="shared" si="0"/>
        <v>0.79362101313320821</v>
      </c>
      <c r="K41" s="61">
        <v>749</v>
      </c>
      <c r="L41" s="61">
        <v>0</v>
      </c>
      <c r="M41" s="208">
        <f t="shared" si="1"/>
        <v>0</v>
      </c>
      <c r="N41" s="2" t="s">
        <v>3724</v>
      </c>
    </row>
    <row r="42" spans="1:14" x14ac:dyDescent="0.25">
      <c r="A42" s="107" t="s">
        <v>729</v>
      </c>
      <c r="B42" s="108" t="s">
        <v>731</v>
      </c>
      <c r="C42" s="109" t="s">
        <v>631</v>
      </c>
      <c r="D42" s="109" t="s">
        <v>3117</v>
      </c>
      <c r="E42" s="110" t="s">
        <v>653</v>
      </c>
      <c r="F42" s="110" t="s">
        <v>654</v>
      </c>
      <c r="G42" s="110" t="s">
        <v>625</v>
      </c>
      <c r="H42" s="61">
        <v>1019</v>
      </c>
      <c r="I42" s="61">
        <v>539</v>
      </c>
      <c r="J42" s="200">
        <f t="shared" si="0"/>
        <v>0.52894995093228658</v>
      </c>
      <c r="K42" s="61">
        <v>1127</v>
      </c>
      <c r="L42" s="61">
        <v>1</v>
      </c>
      <c r="M42" s="213">
        <f t="shared" si="1"/>
        <v>8.8731144631765753E-4</v>
      </c>
      <c r="N42" s="2" t="s">
        <v>3724</v>
      </c>
    </row>
    <row r="43" spans="1:14" x14ac:dyDescent="0.25">
      <c r="A43" s="107" t="s">
        <v>729</v>
      </c>
      <c r="B43" s="108" t="s">
        <v>730</v>
      </c>
      <c r="C43" s="109" t="s">
        <v>631</v>
      </c>
      <c r="D43" s="109" t="s">
        <v>3117</v>
      </c>
      <c r="E43" s="110" t="s">
        <v>628</v>
      </c>
      <c r="F43" s="110" t="s">
        <v>629</v>
      </c>
      <c r="G43" s="110" t="s">
        <v>625</v>
      </c>
      <c r="H43" s="61">
        <v>303</v>
      </c>
      <c r="I43" s="61">
        <v>127</v>
      </c>
      <c r="J43" s="200">
        <f t="shared" si="0"/>
        <v>0.41914191419141916</v>
      </c>
      <c r="K43" s="61">
        <v>986</v>
      </c>
      <c r="L43" s="61">
        <v>0</v>
      </c>
      <c r="M43" s="208">
        <f t="shared" si="1"/>
        <v>0</v>
      </c>
      <c r="N43" s="2" t="s">
        <v>3724</v>
      </c>
    </row>
    <row r="44" spans="1:14" x14ac:dyDescent="0.25">
      <c r="A44" s="107" t="s">
        <v>732</v>
      </c>
      <c r="B44" s="108" t="s">
        <v>740</v>
      </c>
      <c r="C44" s="109" t="s">
        <v>737</v>
      </c>
      <c r="D44" s="109" t="s">
        <v>3117</v>
      </c>
      <c r="E44" s="110" t="s">
        <v>738</v>
      </c>
      <c r="F44" s="110" t="s">
        <v>739</v>
      </c>
      <c r="G44" s="110" t="s">
        <v>625</v>
      </c>
      <c r="H44" s="61">
        <v>1953</v>
      </c>
      <c r="I44" s="61">
        <v>1356</v>
      </c>
      <c r="J44" s="200">
        <f t="shared" si="0"/>
        <v>0.69431643625192008</v>
      </c>
      <c r="K44" s="61">
        <v>1309</v>
      </c>
      <c r="L44" s="61">
        <v>0</v>
      </c>
      <c r="M44" s="209">
        <f t="shared" si="1"/>
        <v>0</v>
      </c>
      <c r="N44" s="2" t="s">
        <v>3724</v>
      </c>
    </row>
    <row r="45" spans="1:14" x14ac:dyDescent="0.25">
      <c r="A45" s="107" t="s">
        <v>732</v>
      </c>
      <c r="B45" s="108" t="s">
        <v>736</v>
      </c>
      <c r="C45" s="109" t="s">
        <v>631</v>
      </c>
      <c r="D45" s="109" t="s">
        <v>3117</v>
      </c>
      <c r="E45" s="110" t="s">
        <v>734</v>
      </c>
      <c r="F45" s="110" t="s">
        <v>735</v>
      </c>
      <c r="G45" s="110" t="s">
        <v>625</v>
      </c>
      <c r="H45" s="61">
        <v>744</v>
      </c>
      <c r="I45" s="61">
        <v>628</v>
      </c>
      <c r="J45" s="200">
        <f t="shared" si="0"/>
        <v>0.84408602150537637</v>
      </c>
      <c r="K45" s="61">
        <v>824</v>
      </c>
      <c r="L45" s="61">
        <v>0</v>
      </c>
      <c r="M45" s="208">
        <f t="shared" si="1"/>
        <v>0</v>
      </c>
      <c r="N45" s="2" t="s">
        <v>3724</v>
      </c>
    </row>
    <row r="46" spans="1:14" x14ac:dyDescent="0.25">
      <c r="A46" s="107" t="s">
        <v>732</v>
      </c>
      <c r="B46" s="108" t="s">
        <v>733</v>
      </c>
      <c r="C46" s="109" t="s">
        <v>631</v>
      </c>
      <c r="D46" s="109" t="s">
        <v>3117</v>
      </c>
      <c r="E46" s="110" t="s">
        <v>690</v>
      </c>
      <c r="F46" s="110" t="s">
        <v>691</v>
      </c>
      <c r="G46" s="110" t="s">
        <v>625</v>
      </c>
      <c r="H46" s="61">
        <v>501</v>
      </c>
      <c r="I46" s="61">
        <v>336</v>
      </c>
      <c r="J46" s="200">
        <f t="shared" si="0"/>
        <v>0.6706586826347305</v>
      </c>
      <c r="K46" s="61">
        <v>765</v>
      </c>
      <c r="L46" s="61">
        <v>0</v>
      </c>
      <c r="M46" s="208">
        <f t="shared" si="1"/>
        <v>0</v>
      </c>
      <c r="N46" s="2" t="s">
        <v>3724</v>
      </c>
    </row>
    <row r="47" spans="1:14" x14ac:dyDescent="0.25">
      <c r="A47" s="107" t="s">
        <v>741</v>
      </c>
      <c r="B47" s="108" t="s">
        <v>742</v>
      </c>
      <c r="C47" s="109" t="s">
        <v>631</v>
      </c>
      <c r="D47" s="109" t="s">
        <v>3117</v>
      </c>
      <c r="E47" s="110" t="s">
        <v>636</v>
      </c>
      <c r="F47" s="110" t="s">
        <v>637</v>
      </c>
      <c r="G47" s="110" t="s">
        <v>625</v>
      </c>
      <c r="H47" s="61">
        <v>694</v>
      </c>
      <c r="I47" s="61">
        <v>251</v>
      </c>
      <c r="J47" s="200">
        <f t="shared" si="0"/>
        <v>0.36167146974063402</v>
      </c>
      <c r="K47" s="61">
        <v>550</v>
      </c>
      <c r="L47" s="61">
        <v>1</v>
      </c>
      <c r="M47" s="66">
        <f t="shared" si="1"/>
        <v>1.8181818181818182E-3</v>
      </c>
      <c r="N47" s="2" t="s">
        <v>3724</v>
      </c>
    </row>
    <row r="48" spans="1:14" x14ac:dyDescent="0.25">
      <c r="A48" s="107" t="s">
        <v>743</v>
      </c>
      <c r="B48" s="108" t="s">
        <v>744</v>
      </c>
      <c r="C48" s="109" t="s">
        <v>631</v>
      </c>
      <c r="D48" s="109" t="s">
        <v>3117</v>
      </c>
      <c r="E48" s="110" t="s">
        <v>738</v>
      </c>
      <c r="F48" s="110" t="s">
        <v>739</v>
      </c>
      <c r="G48" s="110" t="s">
        <v>625</v>
      </c>
      <c r="H48" s="61">
        <v>886</v>
      </c>
      <c r="I48" s="61">
        <v>329</v>
      </c>
      <c r="J48" s="200">
        <f t="shared" si="0"/>
        <v>0.37133182844243795</v>
      </c>
      <c r="K48" s="61">
        <v>760</v>
      </c>
      <c r="L48" s="61">
        <v>0</v>
      </c>
      <c r="M48" s="208">
        <f t="shared" si="1"/>
        <v>0</v>
      </c>
      <c r="N48" s="2" t="s">
        <v>3724</v>
      </c>
    </row>
    <row r="49" spans="1:14" x14ac:dyDescent="0.25">
      <c r="A49" s="107" t="s">
        <v>743</v>
      </c>
      <c r="B49" s="108" t="s">
        <v>744</v>
      </c>
      <c r="C49" s="109" t="s">
        <v>631</v>
      </c>
      <c r="D49" s="109" t="s">
        <v>3117</v>
      </c>
      <c r="E49" s="110" t="s">
        <v>734</v>
      </c>
      <c r="F49" s="110" t="s">
        <v>735</v>
      </c>
      <c r="G49" s="110" t="s">
        <v>625</v>
      </c>
      <c r="H49" s="61">
        <v>659</v>
      </c>
      <c r="I49" s="61">
        <v>256</v>
      </c>
      <c r="J49" s="200">
        <f t="shared" si="0"/>
        <v>0.38846737481031868</v>
      </c>
      <c r="K49" s="61">
        <v>585</v>
      </c>
      <c r="L49" s="61">
        <v>0</v>
      </c>
      <c r="M49" s="208">
        <f t="shared" si="1"/>
        <v>0</v>
      </c>
      <c r="N49" s="2" t="s">
        <v>3724</v>
      </c>
    </row>
    <row r="50" spans="1:14" x14ac:dyDescent="0.25">
      <c r="A50" s="107" t="s">
        <v>743</v>
      </c>
      <c r="B50" s="108" t="s">
        <v>744</v>
      </c>
      <c r="C50" s="109" t="s">
        <v>631</v>
      </c>
      <c r="D50" s="109" t="s">
        <v>3117</v>
      </c>
      <c r="E50" s="110" t="s">
        <v>656</v>
      </c>
      <c r="F50" s="110" t="s">
        <v>657</v>
      </c>
      <c r="G50" s="110" t="s">
        <v>625</v>
      </c>
      <c r="H50" s="61">
        <v>583</v>
      </c>
      <c r="I50" s="61">
        <v>218</v>
      </c>
      <c r="J50" s="200">
        <f t="shared" si="0"/>
        <v>0.37392795883361923</v>
      </c>
      <c r="K50" s="61">
        <v>724</v>
      </c>
      <c r="L50" s="61">
        <v>0</v>
      </c>
      <c r="M50" s="208">
        <f t="shared" si="1"/>
        <v>0</v>
      </c>
      <c r="N50" s="2" t="s">
        <v>3724</v>
      </c>
    </row>
    <row r="51" spans="1:14" x14ac:dyDescent="0.25">
      <c r="A51" s="107" t="s">
        <v>743</v>
      </c>
      <c r="B51" s="108" t="s">
        <v>744</v>
      </c>
      <c r="C51" s="109" t="s">
        <v>631</v>
      </c>
      <c r="D51" s="109" t="s">
        <v>3117</v>
      </c>
      <c r="E51" s="110" t="s">
        <v>678</v>
      </c>
      <c r="F51" s="110" t="s">
        <v>679</v>
      </c>
      <c r="G51" s="110" t="s">
        <v>625</v>
      </c>
      <c r="H51" s="61">
        <v>614</v>
      </c>
      <c r="I51" s="61">
        <v>321</v>
      </c>
      <c r="J51" s="200">
        <f t="shared" si="0"/>
        <v>0.5228013029315961</v>
      </c>
      <c r="K51" s="61">
        <v>419</v>
      </c>
      <c r="L51" s="61">
        <v>1</v>
      </c>
      <c r="M51" s="66">
        <f t="shared" si="1"/>
        <v>2.3866348448687352E-3</v>
      </c>
      <c r="N51" s="2" t="s">
        <v>3724</v>
      </c>
    </row>
    <row r="52" spans="1:14" x14ac:dyDescent="0.25">
      <c r="A52" s="107" t="s">
        <v>743</v>
      </c>
      <c r="B52" s="108" t="s">
        <v>744</v>
      </c>
      <c r="C52" s="109" t="s">
        <v>631</v>
      </c>
      <c r="D52" s="109" t="s">
        <v>3117</v>
      </c>
      <c r="E52" s="110" t="s">
        <v>745</v>
      </c>
      <c r="F52" s="110" t="s">
        <v>746</v>
      </c>
      <c r="G52" s="110" t="s">
        <v>625</v>
      </c>
      <c r="H52" s="61">
        <v>773</v>
      </c>
      <c r="I52" s="61">
        <v>296</v>
      </c>
      <c r="J52" s="200">
        <f t="shared" si="0"/>
        <v>0.38292367399741267</v>
      </c>
      <c r="K52" s="61">
        <v>531</v>
      </c>
      <c r="L52" s="61">
        <v>1</v>
      </c>
      <c r="M52" s="66">
        <f t="shared" si="1"/>
        <v>1.8832391713747645E-3</v>
      </c>
      <c r="N52" s="2" t="s">
        <v>3724</v>
      </c>
    </row>
    <row r="53" spans="1:14" x14ac:dyDescent="0.25">
      <c r="A53" s="107" t="s">
        <v>747</v>
      </c>
      <c r="B53" s="108" t="s">
        <v>750</v>
      </c>
      <c r="C53" s="109" t="s">
        <v>631</v>
      </c>
      <c r="D53" s="109" t="s">
        <v>3117</v>
      </c>
      <c r="E53" s="110" t="s">
        <v>748</v>
      </c>
      <c r="F53" s="110" t="s">
        <v>749</v>
      </c>
      <c r="G53" s="110" t="s">
        <v>625</v>
      </c>
      <c r="H53" s="61">
        <v>908</v>
      </c>
      <c r="I53" s="61">
        <v>340</v>
      </c>
      <c r="J53" s="200">
        <f t="shared" si="0"/>
        <v>0.37444933920704848</v>
      </c>
      <c r="K53" s="61">
        <v>800</v>
      </c>
      <c r="L53" s="61">
        <v>0</v>
      </c>
      <c r="M53" s="208">
        <f t="shared" si="1"/>
        <v>0</v>
      </c>
      <c r="N53" s="2" t="s">
        <v>3724</v>
      </c>
    </row>
    <row r="54" spans="1:14" x14ac:dyDescent="0.25">
      <c r="A54" s="107" t="s">
        <v>747</v>
      </c>
      <c r="B54" s="108" t="s">
        <v>753</v>
      </c>
      <c r="C54" s="109" t="s">
        <v>631</v>
      </c>
      <c r="D54" s="109" t="s">
        <v>3117</v>
      </c>
      <c r="E54" s="110" t="s">
        <v>751</v>
      </c>
      <c r="F54" s="110" t="s">
        <v>752</v>
      </c>
      <c r="G54" s="110" t="s">
        <v>625</v>
      </c>
      <c r="H54" s="61">
        <v>932</v>
      </c>
      <c r="I54" s="61">
        <v>349</v>
      </c>
      <c r="J54" s="200">
        <f t="shared" si="0"/>
        <v>0.37446351931330474</v>
      </c>
      <c r="K54" s="61">
        <v>1232</v>
      </c>
      <c r="L54" s="61">
        <v>1</v>
      </c>
      <c r="M54" s="66">
        <f t="shared" si="1"/>
        <v>8.1168831168831174E-4</v>
      </c>
      <c r="N54" s="2" t="s">
        <v>3724</v>
      </c>
    </row>
    <row r="55" spans="1:14" x14ac:dyDescent="0.25">
      <c r="A55" s="107" t="s">
        <v>754</v>
      </c>
      <c r="B55" s="108" t="s">
        <v>757</v>
      </c>
      <c r="C55" s="109" t="s">
        <v>631</v>
      </c>
      <c r="D55" s="109" t="s">
        <v>3117</v>
      </c>
      <c r="E55" s="110" t="s">
        <v>755</v>
      </c>
      <c r="F55" s="110" t="s">
        <v>756</v>
      </c>
      <c r="G55" s="110" t="s">
        <v>625</v>
      </c>
      <c r="H55" s="61">
        <v>631</v>
      </c>
      <c r="I55" s="61">
        <v>310</v>
      </c>
      <c r="J55" s="200">
        <f t="shared" si="0"/>
        <v>0.49128367670364503</v>
      </c>
      <c r="K55" s="61">
        <v>907</v>
      </c>
      <c r="L55" s="61">
        <v>0</v>
      </c>
      <c r="M55" s="208">
        <f t="shared" si="1"/>
        <v>0</v>
      </c>
      <c r="N55" s="2" t="s">
        <v>3724</v>
      </c>
    </row>
    <row r="56" spans="1:14" x14ac:dyDescent="0.25">
      <c r="A56" s="107" t="s">
        <v>754</v>
      </c>
      <c r="B56" s="108" t="s">
        <v>758</v>
      </c>
      <c r="C56" s="109" t="s">
        <v>631</v>
      </c>
      <c r="D56" s="109" t="s">
        <v>3117</v>
      </c>
      <c r="E56" s="110" t="s">
        <v>723</v>
      </c>
      <c r="F56" s="110" t="s">
        <v>724</v>
      </c>
      <c r="G56" s="110" t="s">
        <v>625</v>
      </c>
      <c r="H56" s="61">
        <v>761</v>
      </c>
      <c r="I56" s="61">
        <v>337</v>
      </c>
      <c r="J56" s="200">
        <f t="shared" si="0"/>
        <v>0.44283837056504599</v>
      </c>
      <c r="K56" s="61">
        <v>1014</v>
      </c>
      <c r="L56" s="61">
        <v>1</v>
      </c>
      <c r="M56" s="66">
        <f t="shared" si="1"/>
        <v>9.8619329388560163E-4</v>
      </c>
      <c r="N56" s="2" t="s">
        <v>3724</v>
      </c>
    </row>
    <row r="57" spans="1:14" x14ac:dyDescent="0.25">
      <c r="A57" s="107" t="s">
        <v>14</v>
      </c>
      <c r="B57" s="108" t="s">
        <v>761</v>
      </c>
      <c r="C57" s="109" t="s">
        <v>631</v>
      </c>
      <c r="D57" s="109" t="s">
        <v>3117</v>
      </c>
      <c r="E57" s="110" t="s">
        <v>759</v>
      </c>
      <c r="F57" s="110" t="s">
        <v>760</v>
      </c>
      <c r="G57" s="110" t="s">
        <v>625</v>
      </c>
      <c r="H57" s="61">
        <v>525</v>
      </c>
      <c r="I57" s="61">
        <v>139</v>
      </c>
      <c r="J57" s="200">
        <f t="shared" si="0"/>
        <v>0.26476190476190475</v>
      </c>
      <c r="K57" s="61">
        <v>539</v>
      </c>
      <c r="L57" s="61">
        <v>0</v>
      </c>
      <c r="M57" s="208">
        <f t="shared" si="1"/>
        <v>0</v>
      </c>
      <c r="N57" s="2" t="s">
        <v>3724</v>
      </c>
    </row>
    <row r="58" spans="1:14" x14ac:dyDescent="0.25">
      <c r="A58" s="107" t="s">
        <v>14</v>
      </c>
      <c r="B58" s="108" t="s">
        <v>762</v>
      </c>
      <c r="C58" s="109" t="s">
        <v>631</v>
      </c>
      <c r="D58" s="109" t="s">
        <v>3117</v>
      </c>
      <c r="E58" s="110" t="s">
        <v>667</v>
      </c>
      <c r="F58" s="110" t="s">
        <v>668</v>
      </c>
      <c r="G58" s="110" t="s">
        <v>625</v>
      </c>
      <c r="H58" s="61">
        <v>1107</v>
      </c>
      <c r="I58" s="61">
        <v>269</v>
      </c>
      <c r="J58" s="200">
        <f t="shared" si="0"/>
        <v>0.24299909665763325</v>
      </c>
      <c r="K58" s="61">
        <v>1385</v>
      </c>
      <c r="L58" s="61">
        <v>4</v>
      </c>
      <c r="M58" s="66">
        <f t="shared" si="1"/>
        <v>2.8880866425992778E-3</v>
      </c>
      <c r="N58" s="2" t="s">
        <v>3724</v>
      </c>
    </row>
    <row r="59" spans="1:14" x14ac:dyDescent="0.25">
      <c r="A59" s="107" t="s">
        <v>763</v>
      </c>
      <c r="B59" s="108" t="s">
        <v>764</v>
      </c>
      <c r="C59" s="109" t="s">
        <v>621</v>
      </c>
      <c r="D59" s="109" t="s">
        <v>3117</v>
      </c>
      <c r="E59" s="110" t="s">
        <v>699</v>
      </c>
      <c r="F59" s="110" t="s">
        <v>700</v>
      </c>
      <c r="G59" s="110" t="s">
        <v>625</v>
      </c>
      <c r="H59" s="61">
        <v>523</v>
      </c>
      <c r="I59" s="61">
        <v>54</v>
      </c>
      <c r="J59" s="200">
        <f t="shared" si="0"/>
        <v>0.10325047801147227</v>
      </c>
      <c r="K59" s="61">
        <v>629</v>
      </c>
      <c r="L59" s="61">
        <v>0</v>
      </c>
      <c r="M59" s="208">
        <f t="shared" si="1"/>
        <v>0</v>
      </c>
      <c r="N59" s="2" t="s">
        <v>3724</v>
      </c>
    </row>
    <row r="60" spans="1:14" x14ac:dyDescent="0.25">
      <c r="A60" s="107" t="s">
        <v>763</v>
      </c>
      <c r="B60" s="108" t="s">
        <v>765</v>
      </c>
      <c r="C60" s="109" t="s">
        <v>631</v>
      </c>
      <c r="D60" s="109" t="s">
        <v>3117</v>
      </c>
      <c r="E60" s="110" t="s">
        <v>699</v>
      </c>
      <c r="F60" s="110" t="s">
        <v>700</v>
      </c>
      <c r="G60" s="110" t="s">
        <v>625</v>
      </c>
      <c r="H60" s="61">
        <v>523</v>
      </c>
      <c r="I60" s="61">
        <v>54</v>
      </c>
      <c r="J60" s="200">
        <f t="shared" si="0"/>
        <v>0.10325047801147227</v>
      </c>
      <c r="K60" s="61">
        <v>644</v>
      </c>
      <c r="L60" s="61">
        <v>0</v>
      </c>
      <c r="M60" s="208">
        <f t="shared" si="1"/>
        <v>0</v>
      </c>
      <c r="N60" s="2" t="s">
        <v>3724</v>
      </c>
    </row>
    <row r="61" spans="1:14" x14ac:dyDescent="0.25">
      <c r="A61" s="107" t="s">
        <v>766</v>
      </c>
      <c r="B61" s="108" t="s">
        <v>626</v>
      </c>
      <c r="C61" s="109" t="s">
        <v>645</v>
      </c>
      <c r="D61" s="109" t="s">
        <v>3117</v>
      </c>
      <c r="E61" s="110" t="s">
        <v>759</v>
      </c>
      <c r="F61" s="110" t="s">
        <v>760</v>
      </c>
      <c r="G61" s="110" t="s">
        <v>625</v>
      </c>
      <c r="H61" s="61">
        <v>639</v>
      </c>
      <c r="I61" s="61">
        <v>230</v>
      </c>
      <c r="J61" s="200">
        <f t="shared" si="0"/>
        <v>0.35993740219092329</v>
      </c>
      <c r="K61" s="61">
        <v>988</v>
      </c>
      <c r="L61" s="61">
        <v>0</v>
      </c>
      <c r="M61" s="208">
        <f t="shared" si="1"/>
        <v>0</v>
      </c>
      <c r="N61" s="2" t="s">
        <v>3724</v>
      </c>
    </row>
    <row r="62" spans="1:14" x14ac:dyDescent="0.25">
      <c r="A62" s="111" t="s">
        <v>766</v>
      </c>
      <c r="B62" s="112" t="s">
        <v>769</v>
      </c>
      <c r="C62" s="113" t="s">
        <v>652</v>
      </c>
      <c r="D62" s="113" t="s">
        <v>3118</v>
      </c>
      <c r="E62" s="114" t="s">
        <v>767</v>
      </c>
      <c r="F62" s="114" t="s">
        <v>768</v>
      </c>
      <c r="G62" s="114" t="s">
        <v>625</v>
      </c>
      <c r="H62" s="61">
        <v>1318</v>
      </c>
      <c r="I62" s="61">
        <v>441</v>
      </c>
      <c r="J62" s="200">
        <f t="shared" si="0"/>
        <v>0.33459787556904402</v>
      </c>
      <c r="K62" s="61">
        <v>1689</v>
      </c>
      <c r="L62" s="61">
        <v>0</v>
      </c>
      <c r="M62" s="209">
        <f t="shared" si="1"/>
        <v>0</v>
      </c>
      <c r="N62" s="2" t="s">
        <v>3724</v>
      </c>
    </row>
    <row r="63" spans="1:14" x14ac:dyDescent="0.25">
      <c r="A63" s="111" t="s">
        <v>770</v>
      </c>
      <c r="B63" s="112" t="s">
        <v>773</v>
      </c>
      <c r="C63" s="113" t="s">
        <v>621</v>
      </c>
      <c r="D63" s="113" t="s">
        <v>3118</v>
      </c>
      <c r="E63" s="114" t="s">
        <v>771</v>
      </c>
      <c r="F63" s="114" t="s">
        <v>772</v>
      </c>
      <c r="G63" s="114" t="s">
        <v>714</v>
      </c>
      <c r="H63" s="61">
        <v>186</v>
      </c>
      <c r="I63" s="61">
        <v>38</v>
      </c>
      <c r="J63" s="200">
        <f t="shared" si="0"/>
        <v>0.20430107526881722</v>
      </c>
      <c r="K63" s="61">
        <v>401</v>
      </c>
      <c r="L63" s="61">
        <v>0</v>
      </c>
      <c r="M63" s="209">
        <f t="shared" si="1"/>
        <v>0</v>
      </c>
      <c r="N63" s="2" t="s">
        <v>3724</v>
      </c>
    </row>
    <row r="64" spans="1:14" x14ac:dyDescent="0.25">
      <c r="A64" s="107" t="s">
        <v>774</v>
      </c>
      <c r="B64" s="108" t="s">
        <v>626</v>
      </c>
      <c r="C64" s="109" t="s">
        <v>645</v>
      </c>
      <c r="D64" s="109" t="s">
        <v>3117</v>
      </c>
      <c r="E64" s="110" t="s">
        <v>751</v>
      </c>
      <c r="F64" s="110" t="s">
        <v>752</v>
      </c>
      <c r="G64" s="110" t="s">
        <v>625</v>
      </c>
      <c r="H64" s="61">
        <v>575</v>
      </c>
      <c r="I64" s="61">
        <v>320</v>
      </c>
      <c r="J64" s="200">
        <f t="shared" si="0"/>
        <v>0.55652173913043479</v>
      </c>
      <c r="K64" s="61">
        <v>1015</v>
      </c>
      <c r="L64" s="61">
        <v>0</v>
      </c>
      <c r="M64" s="208">
        <f t="shared" si="1"/>
        <v>0</v>
      </c>
      <c r="N64" s="2" t="s">
        <v>3724</v>
      </c>
    </row>
    <row r="65" spans="1:14" x14ac:dyDescent="0.25">
      <c r="A65" s="107" t="s">
        <v>17</v>
      </c>
      <c r="B65" s="108" t="s">
        <v>777</v>
      </c>
      <c r="C65" s="109" t="s">
        <v>737</v>
      </c>
      <c r="D65" s="109" t="s">
        <v>3117</v>
      </c>
      <c r="E65" s="110" t="s">
        <v>623</v>
      </c>
      <c r="F65" s="110" t="s">
        <v>624</v>
      </c>
      <c r="G65" s="110" t="s">
        <v>625</v>
      </c>
      <c r="H65" s="61">
        <v>629</v>
      </c>
      <c r="I65" s="61">
        <v>362</v>
      </c>
      <c r="J65" s="200">
        <f t="shared" si="0"/>
        <v>0.57551669316375198</v>
      </c>
      <c r="K65" s="61">
        <v>1080</v>
      </c>
      <c r="L65" s="61">
        <v>0</v>
      </c>
      <c r="M65" s="214">
        <f t="shared" si="1"/>
        <v>0</v>
      </c>
      <c r="N65" s="2" t="s">
        <v>3724</v>
      </c>
    </row>
    <row r="66" spans="1:14" x14ac:dyDescent="0.25">
      <c r="A66" s="107" t="s">
        <v>17</v>
      </c>
      <c r="B66" s="108" t="s">
        <v>775</v>
      </c>
      <c r="C66" s="109" t="s">
        <v>631</v>
      </c>
      <c r="D66" s="109" t="s">
        <v>3117</v>
      </c>
      <c r="E66" s="110" t="s">
        <v>690</v>
      </c>
      <c r="F66" s="110" t="s">
        <v>691</v>
      </c>
      <c r="G66" s="110" t="s">
        <v>625</v>
      </c>
      <c r="H66" s="61">
        <v>427</v>
      </c>
      <c r="I66" s="61">
        <v>340</v>
      </c>
      <c r="J66" s="200">
        <f t="shared" si="0"/>
        <v>0.79625292740046838</v>
      </c>
      <c r="K66" s="61">
        <v>828</v>
      </c>
      <c r="L66" s="61">
        <v>0</v>
      </c>
      <c r="M66" s="208">
        <f t="shared" si="1"/>
        <v>0</v>
      </c>
      <c r="N66" s="2" t="s">
        <v>3724</v>
      </c>
    </row>
    <row r="67" spans="1:14" x14ac:dyDescent="0.25">
      <c r="A67" s="107" t="s">
        <v>17</v>
      </c>
      <c r="B67" s="108" t="s">
        <v>776</v>
      </c>
      <c r="C67" s="109" t="s">
        <v>659</v>
      </c>
      <c r="D67" s="109" t="s">
        <v>3117</v>
      </c>
      <c r="E67" s="110" t="s">
        <v>646</v>
      </c>
      <c r="F67" s="110" t="s">
        <v>647</v>
      </c>
      <c r="G67" s="110" t="s">
        <v>625</v>
      </c>
      <c r="H67" s="61">
        <v>583</v>
      </c>
      <c r="I67" s="61">
        <v>135</v>
      </c>
      <c r="J67" s="200">
        <f t="shared" si="0"/>
        <v>0.23156089193825044</v>
      </c>
      <c r="K67" s="61">
        <v>884</v>
      </c>
      <c r="L67" s="61">
        <v>0</v>
      </c>
      <c r="M67" s="208">
        <f t="shared" si="1"/>
        <v>0</v>
      </c>
      <c r="N67" s="2" t="s">
        <v>3724</v>
      </c>
    </row>
    <row r="68" spans="1:14" x14ac:dyDescent="0.25">
      <c r="A68" s="107" t="s">
        <v>17</v>
      </c>
      <c r="B68" s="108" t="s">
        <v>782</v>
      </c>
      <c r="C68" s="109" t="s">
        <v>659</v>
      </c>
      <c r="D68" s="109" t="s">
        <v>3117</v>
      </c>
      <c r="E68" s="110" t="s">
        <v>780</v>
      </c>
      <c r="F68" s="110" t="s">
        <v>781</v>
      </c>
      <c r="G68" s="110" t="s">
        <v>625</v>
      </c>
      <c r="H68" s="61">
        <v>374</v>
      </c>
      <c r="I68" s="61">
        <v>226</v>
      </c>
      <c r="J68" s="200">
        <f t="shared" ref="J68:J125" si="2">I68/H68</f>
        <v>0.60427807486631013</v>
      </c>
      <c r="K68" s="61">
        <v>732</v>
      </c>
      <c r="L68" s="61">
        <v>0</v>
      </c>
      <c r="M68" s="208">
        <f t="shared" ref="M68:M125" si="3">L68/K68</f>
        <v>0</v>
      </c>
      <c r="N68" s="2" t="s">
        <v>3724</v>
      </c>
    </row>
    <row r="69" spans="1:14" x14ac:dyDescent="0.25">
      <c r="A69" s="107" t="s">
        <v>17</v>
      </c>
      <c r="B69" s="108" t="s">
        <v>783</v>
      </c>
      <c r="C69" s="109" t="s">
        <v>659</v>
      </c>
      <c r="D69" s="109" t="s">
        <v>3117</v>
      </c>
      <c r="E69" s="110" t="s">
        <v>643</v>
      </c>
      <c r="F69" s="110" t="s">
        <v>644</v>
      </c>
      <c r="G69" s="110" t="s">
        <v>625</v>
      </c>
      <c r="H69" s="61">
        <v>813</v>
      </c>
      <c r="I69" s="61">
        <v>217</v>
      </c>
      <c r="J69" s="200">
        <f t="shared" si="2"/>
        <v>0.26691266912669126</v>
      </c>
      <c r="K69" s="61">
        <v>1069</v>
      </c>
      <c r="L69" s="61">
        <v>1</v>
      </c>
      <c r="M69" s="66">
        <f t="shared" si="3"/>
        <v>9.3545369504209543E-4</v>
      </c>
      <c r="N69" s="2" t="s">
        <v>3724</v>
      </c>
    </row>
    <row r="70" spans="1:14" x14ac:dyDescent="0.25">
      <c r="A70" s="107" t="s">
        <v>17</v>
      </c>
      <c r="B70" s="108" t="s">
        <v>779</v>
      </c>
      <c r="C70" s="109" t="s">
        <v>659</v>
      </c>
      <c r="D70" s="109" t="s">
        <v>3117</v>
      </c>
      <c r="E70" s="110" t="s">
        <v>696</v>
      </c>
      <c r="F70" s="110" t="s">
        <v>697</v>
      </c>
      <c r="G70" s="110" t="s">
        <v>625</v>
      </c>
      <c r="H70" s="61">
        <v>525</v>
      </c>
      <c r="I70" s="61">
        <v>282</v>
      </c>
      <c r="J70" s="200">
        <f t="shared" si="2"/>
        <v>0.53714285714285714</v>
      </c>
      <c r="K70" s="61">
        <v>690</v>
      </c>
      <c r="L70" s="61">
        <v>0</v>
      </c>
      <c r="M70" s="208">
        <f t="shared" si="3"/>
        <v>0</v>
      </c>
      <c r="N70" s="2" t="s">
        <v>3724</v>
      </c>
    </row>
    <row r="71" spans="1:14" x14ac:dyDescent="0.25">
      <c r="A71" s="107" t="s">
        <v>17</v>
      </c>
      <c r="B71" s="108" t="s">
        <v>778</v>
      </c>
      <c r="C71" s="109" t="s">
        <v>659</v>
      </c>
      <c r="D71" s="109" t="s">
        <v>3117</v>
      </c>
      <c r="E71" s="110" t="s">
        <v>708</v>
      </c>
      <c r="F71" s="110" t="s">
        <v>709</v>
      </c>
      <c r="G71" s="110" t="s">
        <v>625</v>
      </c>
      <c r="H71" s="61">
        <v>686</v>
      </c>
      <c r="I71" s="61">
        <v>131</v>
      </c>
      <c r="J71" s="200">
        <f t="shared" si="2"/>
        <v>0.19096209912536444</v>
      </c>
      <c r="K71" s="61">
        <v>662</v>
      </c>
      <c r="L71" s="61">
        <v>0</v>
      </c>
      <c r="M71" s="208">
        <f t="shared" si="3"/>
        <v>0</v>
      </c>
      <c r="N71" s="2" t="s">
        <v>3724</v>
      </c>
    </row>
    <row r="72" spans="1:14" x14ac:dyDescent="0.25">
      <c r="A72" s="111" t="s">
        <v>17</v>
      </c>
      <c r="B72" s="112" t="s">
        <v>786</v>
      </c>
      <c r="C72" s="113" t="s">
        <v>652</v>
      </c>
      <c r="D72" s="113" t="s">
        <v>3118</v>
      </c>
      <c r="E72" s="114" t="s">
        <v>784</v>
      </c>
      <c r="F72" s="114" t="s">
        <v>785</v>
      </c>
      <c r="G72" s="114" t="s">
        <v>625</v>
      </c>
      <c r="H72" s="61">
        <v>667</v>
      </c>
      <c r="I72" s="61">
        <v>465</v>
      </c>
      <c r="J72" s="200">
        <f t="shared" si="2"/>
        <v>0.69715142428785604</v>
      </c>
      <c r="K72" s="61">
        <v>852</v>
      </c>
      <c r="L72" s="61">
        <v>0</v>
      </c>
      <c r="M72" s="209">
        <f t="shared" si="3"/>
        <v>0</v>
      </c>
      <c r="N72" s="2" t="s">
        <v>3724</v>
      </c>
    </row>
    <row r="73" spans="1:14" x14ac:dyDescent="0.25">
      <c r="A73" s="107" t="s">
        <v>787</v>
      </c>
      <c r="B73" s="108" t="s">
        <v>788</v>
      </c>
      <c r="C73" s="109" t="s">
        <v>631</v>
      </c>
      <c r="D73" s="109" t="s">
        <v>3117</v>
      </c>
      <c r="E73" s="110" t="s">
        <v>646</v>
      </c>
      <c r="F73" s="110" t="s">
        <v>647</v>
      </c>
      <c r="G73" s="110" t="s">
        <v>625</v>
      </c>
      <c r="H73" s="61">
        <v>1037</v>
      </c>
      <c r="I73" s="61">
        <v>415</v>
      </c>
      <c r="J73" s="200">
        <f t="shared" si="2"/>
        <v>0.40019286403085824</v>
      </c>
      <c r="K73" s="61">
        <v>921</v>
      </c>
      <c r="L73" s="61">
        <v>0</v>
      </c>
      <c r="M73" s="208">
        <f t="shared" si="3"/>
        <v>0</v>
      </c>
      <c r="N73" s="2" t="s">
        <v>3724</v>
      </c>
    </row>
    <row r="74" spans="1:14" x14ac:dyDescent="0.25">
      <c r="A74" s="107" t="s">
        <v>787</v>
      </c>
      <c r="B74" s="108" t="s">
        <v>789</v>
      </c>
      <c r="C74" s="109" t="s">
        <v>631</v>
      </c>
      <c r="D74" s="109" t="s">
        <v>3117</v>
      </c>
      <c r="E74" s="110" t="s">
        <v>780</v>
      </c>
      <c r="F74" s="110" t="s">
        <v>781</v>
      </c>
      <c r="G74" s="110" t="s">
        <v>625</v>
      </c>
      <c r="H74" s="61">
        <v>959</v>
      </c>
      <c r="I74" s="61">
        <v>355</v>
      </c>
      <c r="J74" s="200">
        <f t="shared" si="2"/>
        <v>0.37017726798748696</v>
      </c>
      <c r="K74" s="61">
        <v>1322</v>
      </c>
      <c r="L74" s="61">
        <v>1</v>
      </c>
      <c r="M74" s="66">
        <f t="shared" si="3"/>
        <v>7.5642965204236008E-4</v>
      </c>
      <c r="N74" s="2" t="s">
        <v>3724</v>
      </c>
    </row>
    <row r="75" spans="1:14" x14ac:dyDescent="0.25">
      <c r="A75" s="107" t="s">
        <v>790</v>
      </c>
      <c r="B75" s="108" t="s">
        <v>791</v>
      </c>
      <c r="C75" s="109" t="s">
        <v>631</v>
      </c>
      <c r="D75" s="109" t="s">
        <v>3117</v>
      </c>
      <c r="E75" s="110" t="s">
        <v>628</v>
      </c>
      <c r="F75" s="110" t="s">
        <v>629</v>
      </c>
      <c r="G75" s="110" t="s">
        <v>625</v>
      </c>
      <c r="H75" s="61">
        <v>540</v>
      </c>
      <c r="I75" s="61">
        <v>313</v>
      </c>
      <c r="J75" s="200">
        <f t="shared" si="2"/>
        <v>0.57962962962962961</v>
      </c>
      <c r="K75" s="61">
        <v>1250</v>
      </c>
      <c r="L75" s="61">
        <v>0</v>
      </c>
      <c r="M75" s="208">
        <f t="shared" si="3"/>
        <v>0</v>
      </c>
      <c r="N75" s="2" t="s">
        <v>3724</v>
      </c>
    </row>
    <row r="76" spans="1:14" x14ac:dyDescent="0.25">
      <c r="A76" s="107" t="s">
        <v>790</v>
      </c>
      <c r="B76" s="108" t="s">
        <v>792</v>
      </c>
      <c r="C76" s="109" t="s">
        <v>631</v>
      </c>
      <c r="D76" s="109" t="s">
        <v>3117</v>
      </c>
      <c r="E76" s="110" t="s">
        <v>628</v>
      </c>
      <c r="F76" s="110" t="s">
        <v>629</v>
      </c>
      <c r="G76" s="110" t="s">
        <v>625</v>
      </c>
      <c r="H76" s="61">
        <v>509</v>
      </c>
      <c r="I76" s="61">
        <v>144</v>
      </c>
      <c r="J76" s="200">
        <f t="shared" si="2"/>
        <v>0.28290766208251472</v>
      </c>
      <c r="K76" s="61">
        <v>1169</v>
      </c>
      <c r="L76" s="61">
        <v>0</v>
      </c>
      <c r="M76" s="208">
        <f t="shared" si="3"/>
        <v>0</v>
      </c>
      <c r="N76" s="2" t="s">
        <v>3724</v>
      </c>
    </row>
    <row r="77" spans="1:14" x14ac:dyDescent="0.25">
      <c r="A77" s="107" t="s">
        <v>793</v>
      </c>
      <c r="B77" s="108" t="s">
        <v>794</v>
      </c>
      <c r="C77" s="109" t="s">
        <v>621</v>
      </c>
      <c r="D77" s="109" t="s">
        <v>3117</v>
      </c>
      <c r="E77" s="110" t="s">
        <v>628</v>
      </c>
      <c r="F77" s="110" t="s">
        <v>629</v>
      </c>
      <c r="G77" s="110" t="s">
        <v>625</v>
      </c>
      <c r="H77" s="61">
        <v>295</v>
      </c>
      <c r="I77" s="61">
        <v>83</v>
      </c>
      <c r="J77" s="200">
        <f t="shared" si="2"/>
        <v>0.28135593220338984</v>
      </c>
      <c r="K77" s="61">
        <v>1172</v>
      </c>
      <c r="L77" s="61">
        <v>0</v>
      </c>
      <c r="M77" s="208">
        <f t="shared" si="3"/>
        <v>0</v>
      </c>
      <c r="N77" s="2" t="s">
        <v>3724</v>
      </c>
    </row>
    <row r="78" spans="1:14" x14ac:dyDescent="0.25">
      <c r="A78" s="107" t="s">
        <v>793</v>
      </c>
      <c r="B78" s="108" t="s">
        <v>795</v>
      </c>
      <c r="C78" s="109" t="s">
        <v>631</v>
      </c>
      <c r="D78" s="109" t="s">
        <v>3117</v>
      </c>
      <c r="E78" s="110" t="s">
        <v>628</v>
      </c>
      <c r="F78" s="110" t="s">
        <v>629</v>
      </c>
      <c r="G78" s="110" t="s">
        <v>625</v>
      </c>
      <c r="H78" s="61">
        <v>446</v>
      </c>
      <c r="I78" s="61">
        <v>192</v>
      </c>
      <c r="J78" s="200">
        <f t="shared" si="2"/>
        <v>0.43049327354260092</v>
      </c>
      <c r="K78" s="61">
        <v>1766</v>
      </c>
      <c r="L78" s="61">
        <v>0</v>
      </c>
      <c r="M78" s="209">
        <f t="shared" si="3"/>
        <v>0</v>
      </c>
      <c r="N78" s="2" t="s">
        <v>3724</v>
      </c>
    </row>
    <row r="79" spans="1:14" x14ac:dyDescent="0.25">
      <c r="A79" s="107" t="s">
        <v>796</v>
      </c>
      <c r="B79" s="108" t="s">
        <v>797</v>
      </c>
      <c r="C79" s="109" t="s">
        <v>621</v>
      </c>
      <c r="D79" s="109" t="s">
        <v>3117</v>
      </c>
      <c r="E79" s="110" t="s">
        <v>667</v>
      </c>
      <c r="F79" s="110" t="s">
        <v>668</v>
      </c>
      <c r="G79" s="110" t="s">
        <v>625</v>
      </c>
      <c r="H79" s="61">
        <v>876</v>
      </c>
      <c r="I79" s="61">
        <v>88</v>
      </c>
      <c r="J79" s="200">
        <f t="shared" si="2"/>
        <v>0.1004566210045662</v>
      </c>
      <c r="K79" s="61">
        <v>714</v>
      </c>
      <c r="L79" s="61">
        <v>0</v>
      </c>
      <c r="M79" s="208">
        <f t="shared" si="3"/>
        <v>0</v>
      </c>
      <c r="N79" s="2" t="s">
        <v>3724</v>
      </c>
    </row>
    <row r="80" spans="1:14" x14ac:dyDescent="0.25">
      <c r="A80" s="107" t="s">
        <v>796</v>
      </c>
      <c r="B80" s="108" t="s">
        <v>798</v>
      </c>
      <c r="C80" s="109" t="s">
        <v>631</v>
      </c>
      <c r="D80" s="109" t="s">
        <v>3117</v>
      </c>
      <c r="E80" s="110" t="s">
        <v>628</v>
      </c>
      <c r="F80" s="110" t="s">
        <v>629</v>
      </c>
      <c r="G80" s="110" t="s">
        <v>625</v>
      </c>
      <c r="H80" s="61">
        <v>362</v>
      </c>
      <c r="I80" s="61">
        <v>150</v>
      </c>
      <c r="J80" s="200">
        <f t="shared" si="2"/>
        <v>0.4143646408839779</v>
      </c>
      <c r="K80" s="61">
        <v>1219</v>
      </c>
      <c r="L80" s="61">
        <v>0</v>
      </c>
      <c r="M80" s="208">
        <f t="shared" si="3"/>
        <v>0</v>
      </c>
      <c r="N80" s="2" t="s">
        <v>3724</v>
      </c>
    </row>
    <row r="81" spans="1:14" x14ac:dyDescent="0.25">
      <c r="A81" s="116" t="s">
        <v>799</v>
      </c>
      <c r="B81" s="117" t="s">
        <v>800</v>
      </c>
      <c r="C81" s="118" t="s">
        <v>631</v>
      </c>
      <c r="D81" s="118" t="s">
        <v>3117</v>
      </c>
      <c r="E81" s="119" t="s">
        <v>699</v>
      </c>
      <c r="F81" s="119" t="s">
        <v>700</v>
      </c>
      <c r="G81" s="119" t="s">
        <v>625</v>
      </c>
      <c r="H81" s="61">
        <v>557</v>
      </c>
      <c r="I81" s="61">
        <v>367</v>
      </c>
      <c r="J81" s="200">
        <f t="shared" si="2"/>
        <v>0.65888689407540391</v>
      </c>
      <c r="K81" s="61">
        <v>771</v>
      </c>
      <c r="L81" s="61">
        <v>1</v>
      </c>
      <c r="M81" s="66">
        <f t="shared" si="3"/>
        <v>1.2970168612191958E-3</v>
      </c>
      <c r="N81" s="2" t="s">
        <v>3724</v>
      </c>
    </row>
    <row r="82" spans="1:14" x14ac:dyDescent="0.25">
      <c r="A82" s="116" t="s">
        <v>801</v>
      </c>
      <c r="B82" s="117" t="s">
        <v>802</v>
      </c>
      <c r="C82" s="118" t="s">
        <v>631</v>
      </c>
      <c r="D82" s="118" t="s">
        <v>3117</v>
      </c>
      <c r="E82" s="119" t="s">
        <v>699</v>
      </c>
      <c r="F82" s="119" t="s">
        <v>700</v>
      </c>
      <c r="G82" s="119" t="s">
        <v>625</v>
      </c>
      <c r="H82" s="61">
        <v>1243</v>
      </c>
      <c r="I82" s="61">
        <v>449</v>
      </c>
      <c r="J82" s="200">
        <f t="shared" si="2"/>
        <v>0.36122284794851167</v>
      </c>
      <c r="K82" s="61">
        <v>1064</v>
      </c>
      <c r="L82" s="61">
        <v>0</v>
      </c>
      <c r="M82" s="208">
        <f t="shared" si="3"/>
        <v>0</v>
      </c>
      <c r="N82" s="2" t="s">
        <v>3724</v>
      </c>
    </row>
    <row r="83" spans="1:14" x14ac:dyDescent="0.25">
      <c r="A83" s="116" t="s">
        <v>803</v>
      </c>
      <c r="B83" s="117" t="s">
        <v>804</v>
      </c>
      <c r="C83" s="118" t="s">
        <v>621</v>
      </c>
      <c r="D83" s="118" t="s">
        <v>3117</v>
      </c>
      <c r="E83" s="119" t="s">
        <v>640</v>
      </c>
      <c r="F83" s="119" t="s">
        <v>641</v>
      </c>
      <c r="G83" s="119" t="s">
        <v>625</v>
      </c>
      <c r="H83" s="61">
        <v>645</v>
      </c>
      <c r="I83" s="61">
        <v>126</v>
      </c>
      <c r="J83" s="200">
        <f t="shared" si="2"/>
        <v>0.19534883720930232</v>
      </c>
      <c r="K83" s="61">
        <v>1123</v>
      </c>
      <c r="L83" s="61">
        <v>0</v>
      </c>
      <c r="M83" s="208">
        <f t="shared" si="3"/>
        <v>0</v>
      </c>
      <c r="N83" s="2" t="s">
        <v>3724</v>
      </c>
    </row>
    <row r="84" spans="1:14" x14ac:dyDescent="0.25">
      <c r="A84" s="116" t="s">
        <v>805</v>
      </c>
      <c r="B84" s="117" t="s">
        <v>806</v>
      </c>
      <c r="C84" s="118" t="s">
        <v>621</v>
      </c>
      <c r="D84" s="118" t="s">
        <v>3117</v>
      </c>
      <c r="E84" s="119" t="s">
        <v>636</v>
      </c>
      <c r="F84" s="119" t="s">
        <v>637</v>
      </c>
      <c r="G84" s="119" t="s">
        <v>625</v>
      </c>
      <c r="H84" s="61">
        <v>610</v>
      </c>
      <c r="I84" s="61">
        <v>262</v>
      </c>
      <c r="J84" s="200">
        <f t="shared" si="2"/>
        <v>0.42950819672131146</v>
      </c>
      <c r="K84" s="61">
        <v>816</v>
      </c>
      <c r="L84" s="61">
        <v>0</v>
      </c>
      <c r="M84" s="208">
        <f t="shared" si="3"/>
        <v>0</v>
      </c>
      <c r="N84" s="2" t="s">
        <v>3724</v>
      </c>
    </row>
    <row r="85" spans="1:14" x14ac:dyDescent="0.25">
      <c r="A85" s="120" t="s">
        <v>408</v>
      </c>
      <c r="B85" s="121" t="s">
        <v>626</v>
      </c>
      <c r="C85" s="122" t="s">
        <v>807</v>
      </c>
      <c r="D85" s="122" t="s">
        <v>3118</v>
      </c>
      <c r="E85" s="61" t="s">
        <v>771</v>
      </c>
      <c r="F85" s="61" t="s">
        <v>772</v>
      </c>
      <c r="G85" s="61" t="s">
        <v>714</v>
      </c>
      <c r="H85" s="61">
        <v>80</v>
      </c>
      <c r="I85" s="61">
        <v>31</v>
      </c>
      <c r="J85" s="200">
        <f t="shared" si="2"/>
        <v>0.38750000000000001</v>
      </c>
      <c r="K85" s="61">
        <v>87</v>
      </c>
      <c r="L85" s="61">
        <v>0</v>
      </c>
      <c r="M85" s="209">
        <f t="shared" si="3"/>
        <v>0</v>
      </c>
      <c r="N85" s="2" t="s">
        <v>3724</v>
      </c>
    </row>
    <row r="86" spans="1:14" x14ac:dyDescent="0.25">
      <c r="A86" s="116" t="s">
        <v>13</v>
      </c>
      <c r="B86" s="117" t="s">
        <v>810</v>
      </c>
      <c r="C86" s="118" t="s">
        <v>621</v>
      </c>
      <c r="D86" s="118" t="s">
        <v>3117</v>
      </c>
      <c r="E86" s="119" t="s">
        <v>738</v>
      </c>
      <c r="F86" s="119" t="s">
        <v>739</v>
      </c>
      <c r="G86" s="119" t="s">
        <v>625</v>
      </c>
      <c r="H86" s="5">
        <v>443</v>
      </c>
      <c r="I86" s="5">
        <v>75</v>
      </c>
      <c r="J86" s="210">
        <f t="shared" si="2"/>
        <v>0.16930022573363432</v>
      </c>
      <c r="K86" s="5">
        <v>1020</v>
      </c>
      <c r="L86" s="5">
        <v>0</v>
      </c>
      <c r="M86" s="211">
        <f t="shared" si="3"/>
        <v>0</v>
      </c>
      <c r="N86" s="2" t="s">
        <v>3724</v>
      </c>
    </row>
    <row r="87" spans="1:14" x14ac:dyDescent="0.25">
      <c r="A87" s="116" t="s">
        <v>13</v>
      </c>
      <c r="B87" s="117" t="s">
        <v>811</v>
      </c>
      <c r="C87" s="118" t="s">
        <v>652</v>
      </c>
      <c r="D87" s="118" t="s">
        <v>3117</v>
      </c>
      <c r="E87" s="119" t="s">
        <v>738</v>
      </c>
      <c r="F87" s="119" t="s">
        <v>739</v>
      </c>
      <c r="G87" s="119" t="s">
        <v>625</v>
      </c>
      <c r="H87" s="5">
        <v>440</v>
      </c>
      <c r="I87" s="5">
        <v>140</v>
      </c>
      <c r="J87" s="210">
        <f t="shared" si="2"/>
        <v>0.31818181818181818</v>
      </c>
      <c r="K87" s="5">
        <v>938</v>
      </c>
      <c r="L87" s="5">
        <v>0</v>
      </c>
      <c r="M87" s="215">
        <f t="shared" si="3"/>
        <v>0</v>
      </c>
      <c r="N87" s="2" t="s">
        <v>3724</v>
      </c>
    </row>
    <row r="88" spans="1:14" x14ac:dyDescent="0.25">
      <c r="A88" s="116" t="s">
        <v>13</v>
      </c>
      <c r="B88" s="117" t="s">
        <v>808</v>
      </c>
      <c r="C88" s="118" t="s">
        <v>631</v>
      </c>
      <c r="D88" s="118" t="s">
        <v>3117</v>
      </c>
      <c r="E88" s="119" t="s">
        <v>759</v>
      </c>
      <c r="F88" s="119" t="s">
        <v>760</v>
      </c>
      <c r="G88" s="119" t="s">
        <v>625</v>
      </c>
      <c r="H88" s="61">
        <v>469</v>
      </c>
      <c r="I88" s="61">
        <v>159</v>
      </c>
      <c r="J88" s="200">
        <f t="shared" si="2"/>
        <v>0.33901918976545842</v>
      </c>
      <c r="K88" s="61">
        <v>657</v>
      </c>
      <c r="L88" s="61">
        <v>0</v>
      </c>
      <c r="M88" s="208">
        <f t="shared" si="3"/>
        <v>0</v>
      </c>
      <c r="N88" s="2" t="s">
        <v>3724</v>
      </c>
    </row>
    <row r="89" spans="1:14" x14ac:dyDescent="0.25">
      <c r="A89" s="116" t="s">
        <v>13</v>
      </c>
      <c r="B89" s="117" t="s">
        <v>809</v>
      </c>
      <c r="C89" s="118" t="s">
        <v>631</v>
      </c>
      <c r="D89" s="118" t="s">
        <v>3117</v>
      </c>
      <c r="E89" s="119" t="s">
        <v>623</v>
      </c>
      <c r="F89" s="119" t="s">
        <v>624</v>
      </c>
      <c r="G89" s="119" t="s">
        <v>625</v>
      </c>
      <c r="H89" s="5">
        <v>465</v>
      </c>
      <c r="I89" s="5">
        <v>290</v>
      </c>
      <c r="J89" s="210">
        <f t="shared" si="2"/>
        <v>0.62365591397849462</v>
      </c>
      <c r="K89" s="5">
        <v>614</v>
      </c>
      <c r="L89" s="5">
        <v>0</v>
      </c>
      <c r="M89" s="211">
        <f t="shared" si="3"/>
        <v>0</v>
      </c>
      <c r="N89" s="2" t="s">
        <v>3724</v>
      </c>
    </row>
    <row r="90" spans="1:14" x14ac:dyDescent="0.25">
      <c r="A90" s="198" t="s">
        <v>635</v>
      </c>
      <c r="B90" s="199" t="s">
        <v>3500</v>
      </c>
      <c r="C90" s="89" t="s">
        <v>659</v>
      </c>
      <c r="D90" s="118" t="s">
        <v>3117</v>
      </c>
      <c r="E90" s="5" t="s">
        <v>3501</v>
      </c>
      <c r="F90" s="5" t="s">
        <v>3502</v>
      </c>
      <c r="G90" s="5" t="s">
        <v>625</v>
      </c>
      <c r="H90" s="61">
        <v>793</v>
      </c>
      <c r="I90" s="61">
        <v>51</v>
      </c>
      <c r="J90" s="200">
        <f t="shared" si="2"/>
        <v>6.431273644388398E-2</v>
      </c>
      <c r="K90" s="61">
        <v>766</v>
      </c>
      <c r="L90" s="61">
        <v>0</v>
      </c>
      <c r="M90" s="201">
        <f t="shared" si="3"/>
        <v>0</v>
      </c>
      <c r="N90" s="5" t="s">
        <v>3723</v>
      </c>
    </row>
    <row r="91" spans="1:14" x14ac:dyDescent="0.25">
      <c r="A91" s="198" t="s">
        <v>18</v>
      </c>
      <c r="B91" s="199" t="s">
        <v>3503</v>
      </c>
      <c r="C91" s="89" t="s">
        <v>621</v>
      </c>
      <c r="D91" s="118" t="s">
        <v>3117</v>
      </c>
      <c r="E91" s="5" t="s">
        <v>3504</v>
      </c>
      <c r="F91" s="5" t="s">
        <v>3505</v>
      </c>
      <c r="G91" s="5" t="s">
        <v>625</v>
      </c>
      <c r="H91" s="61">
        <v>523</v>
      </c>
      <c r="I91" s="61">
        <v>154</v>
      </c>
      <c r="J91" s="200">
        <f t="shared" si="2"/>
        <v>0.29445506692160611</v>
      </c>
      <c r="K91" s="61">
        <v>575</v>
      </c>
      <c r="L91" s="61">
        <v>0</v>
      </c>
      <c r="M91" s="201">
        <f t="shared" si="3"/>
        <v>0</v>
      </c>
      <c r="N91" s="5" t="s">
        <v>3723</v>
      </c>
    </row>
    <row r="92" spans="1:14" x14ac:dyDescent="0.25">
      <c r="A92" s="198" t="s">
        <v>18</v>
      </c>
      <c r="B92" s="199" t="s">
        <v>3506</v>
      </c>
      <c r="C92" s="89" t="s">
        <v>659</v>
      </c>
      <c r="D92" s="118" t="s">
        <v>3117</v>
      </c>
      <c r="E92" s="5" t="s">
        <v>3507</v>
      </c>
      <c r="F92" s="5" t="s">
        <v>3508</v>
      </c>
      <c r="G92" s="5" t="s">
        <v>625</v>
      </c>
      <c r="H92" s="61">
        <v>438</v>
      </c>
      <c r="I92" s="61">
        <v>121</v>
      </c>
      <c r="J92" s="200">
        <f t="shared" si="2"/>
        <v>0.27625570776255709</v>
      </c>
      <c r="K92" s="61">
        <v>519</v>
      </c>
      <c r="L92" s="61">
        <v>0</v>
      </c>
      <c r="M92" s="201">
        <f t="shared" si="3"/>
        <v>0</v>
      </c>
      <c r="N92" s="5" t="s">
        <v>3723</v>
      </c>
    </row>
    <row r="93" spans="1:14" x14ac:dyDescent="0.25">
      <c r="A93" s="198" t="s">
        <v>18</v>
      </c>
      <c r="B93" s="199" t="s">
        <v>3509</v>
      </c>
      <c r="C93" s="89" t="s">
        <v>652</v>
      </c>
      <c r="D93" s="118" t="s">
        <v>3117</v>
      </c>
      <c r="E93" s="5" t="s">
        <v>3510</v>
      </c>
      <c r="F93" s="5" t="s">
        <v>3511</v>
      </c>
      <c r="G93" s="5" t="s">
        <v>714</v>
      </c>
      <c r="H93" s="197">
        <v>355</v>
      </c>
      <c r="I93" s="197">
        <v>63</v>
      </c>
      <c r="J93" s="200">
        <f t="shared" si="2"/>
        <v>0.17746478873239438</v>
      </c>
      <c r="K93" s="197">
        <v>454</v>
      </c>
      <c r="L93" s="197">
        <v>0</v>
      </c>
      <c r="M93" s="201">
        <f t="shared" si="3"/>
        <v>0</v>
      </c>
      <c r="N93" s="5" t="s">
        <v>3723</v>
      </c>
    </row>
    <row r="94" spans="1:14" x14ac:dyDescent="0.25">
      <c r="A94" s="198" t="s">
        <v>18</v>
      </c>
      <c r="B94" s="199" t="s">
        <v>3512</v>
      </c>
      <c r="C94" s="89" t="s">
        <v>621</v>
      </c>
      <c r="D94" s="118" t="s">
        <v>3117</v>
      </c>
      <c r="E94" s="5" t="s">
        <v>3513</v>
      </c>
      <c r="F94" s="5" t="s">
        <v>3514</v>
      </c>
      <c r="G94" s="5" t="s">
        <v>714</v>
      </c>
      <c r="H94" s="197">
        <v>387</v>
      </c>
      <c r="I94" s="197">
        <v>90</v>
      </c>
      <c r="J94" s="200">
        <f t="shared" si="2"/>
        <v>0.23255813953488372</v>
      </c>
      <c r="K94" s="197">
        <v>443</v>
      </c>
      <c r="L94" s="197">
        <v>0</v>
      </c>
      <c r="M94" s="201">
        <f t="shared" si="3"/>
        <v>0</v>
      </c>
      <c r="N94" s="5" t="s">
        <v>3723</v>
      </c>
    </row>
    <row r="95" spans="1:14" x14ac:dyDescent="0.25">
      <c r="A95" s="198" t="s">
        <v>18</v>
      </c>
      <c r="B95" s="199" t="s">
        <v>3515</v>
      </c>
      <c r="C95" s="89" t="s">
        <v>621</v>
      </c>
      <c r="D95" s="118" t="s">
        <v>3117</v>
      </c>
      <c r="E95" s="5" t="s">
        <v>3513</v>
      </c>
      <c r="F95" s="5" t="s">
        <v>3514</v>
      </c>
      <c r="G95" s="5" t="s">
        <v>625</v>
      </c>
      <c r="H95" s="61">
        <v>534</v>
      </c>
      <c r="I95" s="61">
        <v>97</v>
      </c>
      <c r="J95" s="200">
        <f t="shared" si="2"/>
        <v>0.18164794007490637</v>
      </c>
      <c r="K95" s="61">
        <v>609</v>
      </c>
      <c r="L95" s="61">
        <v>0</v>
      </c>
      <c r="M95" s="201">
        <f t="shared" si="3"/>
        <v>0</v>
      </c>
      <c r="N95" s="5" t="s">
        <v>3723</v>
      </c>
    </row>
    <row r="96" spans="1:14" x14ac:dyDescent="0.25">
      <c r="A96" s="198" t="s">
        <v>816</v>
      </c>
      <c r="B96" s="199" t="s">
        <v>3518</v>
      </c>
      <c r="C96" s="89" t="s">
        <v>621</v>
      </c>
      <c r="D96" s="118" t="s">
        <v>3117</v>
      </c>
      <c r="E96" s="5" t="s">
        <v>3516</v>
      </c>
      <c r="F96" s="5" t="s">
        <v>3517</v>
      </c>
      <c r="G96" s="5" t="s">
        <v>714</v>
      </c>
      <c r="H96" s="61">
        <v>577</v>
      </c>
      <c r="I96" s="61">
        <v>141</v>
      </c>
      <c r="J96" s="200">
        <f>I96/H96</f>
        <v>0.24436741767764297</v>
      </c>
      <c r="K96" s="61">
        <v>468</v>
      </c>
      <c r="L96" s="61">
        <v>0</v>
      </c>
      <c r="M96" s="201">
        <f t="shared" si="3"/>
        <v>0</v>
      </c>
      <c r="N96" s="5" t="s">
        <v>3723</v>
      </c>
    </row>
    <row r="97" spans="1:14" x14ac:dyDescent="0.25">
      <c r="A97" s="198" t="s">
        <v>3519</v>
      </c>
      <c r="B97" s="199" t="s">
        <v>3520</v>
      </c>
      <c r="C97" s="89" t="s">
        <v>631</v>
      </c>
      <c r="D97" s="118" t="s">
        <v>3117</v>
      </c>
      <c r="E97" s="5" t="s">
        <v>3510</v>
      </c>
      <c r="F97" s="5" t="s">
        <v>3511</v>
      </c>
      <c r="G97" s="5" t="s">
        <v>625</v>
      </c>
      <c r="H97" s="197">
        <v>434</v>
      </c>
      <c r="I97" s="197">
        <v>97</v>
      </c>
      <c r="J97" s="200">
        <f t="shared" si="2"/>
        <v>0.22350230414746544</v>
      </c>
      <c r="K97" s="197">
        <v>411</v>
      </c>
      <c r="L97" s="197">
        <v>0</v>
      </c>
      <c r="M97" s="201">
        <f t="shared" si="3"/>
        <v>0</v>
      </c>
      <c r="N97" s="5" t="s">
        <v>3723</v>
      </c>
    </row>
    <row r="98" spans="1:14" x14ac:dyDescent="0.25">
      <c r="A98" s="198" t="s">
        <v>16</v>
      </c>
      <c r="B98" s="199" t="s">
        <v>3521</v>
      </c>
      <c r="C98" s="89" t="s">
        <v>631</v>
      </c>
      <c r="D98" s="118" t="s">
        <v>3117</v>
      </c>
      <c r="E98" s="5" t="s">
        <v>3522</v>
      </c>
      <c r="F98" s="5" t="s">
        <v>3523</v>
      </c>
      <c r="G98" s="5" t="s">
        <v>625</v>
      </c>
      <c r="H98" s="61">
        <v>395</v>
      </c>
      <c r="I98" s="61">
        <v>323</v>
      </c>
      <c r="J98" s="200">
        <f t="shared" si="2"/>
        <v>0.8177215189873418</v>
      </c>
      <c r="K98" s="61">
        <v>436</v>
      </c>
      <c r="L98" s="61">
        <v>0</v>
      </c>
      <c r="M98" s="201">
        <f t="shared" si="3"/>
        <v>0</v>
      </c>
      <c r="N98" s="5" t="s">
        <v>3723</v>
      </c>
    </row>
    <row r="99" spans="1:14" x14ac:dyDescent="0.25">
      <c r="A99" s="198" t="s">
        <v>703</v>
      </c>
      <c r="B99" s="199" t="s">
        <v>3524</v>
      </c>
      <c r="C99" s="89" t="s">
        <v>631</v>
      </c>
      <c r="D99" s="118" t="s">
        <v>3117</v>
      </c>
      <c r="E99" s="5" t="s">
        <v>3504</v>
      </c>
      <c r="F99" s="5" t="s">
        <v>3505</v>
      </c>
      <c r="G99" s="5" t="s">
        <v>625</v>
      </c>
      <c r="H99" s="61">
        <v>395</v>
      </c>
      <c r="I99" s="61">
        <v>43</v>
      </c>
      <c r="J99" s="200">
        <f t="shared" si="2"/>
        <v>0.10886075949367088</v>
      </c>
      <c r="K99" s="61">
        <v>303</v>
      </c>
      <c r="L99" s="61">
        <v>0</v>
      </c>
      <c r="M99" s="201">
        <f t="shared" si="3"/>
        <v>0</v>
      </c>
      <c r="N99" s="5" t="s">
        <v>3723</v>
      </c>
    </row>
    <row r="100" spans="1:14" x14ac:dyDescent="0.25">
      <c r="A100" s="198" t="s">
        <v>703</v>
      </c>
      <c r="B100" s="199" t="s">
        <v>3525</v>
      </c>
      <c r="C100" s="89" t="s">
        <v>3526</v>
      </c>
      <c r="D100" s="118" t="s">
        <v>3117</v>
      </c>
      <c r="E100" s="5" t="s">
        <v>3527</v>
      </c>
      <c r="F100" s="5" t="s">
        <v>3528</v>
      </c>
      <c r="G100" s="5" t="s">
        <v>625</v>
      </c>
      <c r="H100" s="197">
        <v>716</v>
      </c>
      <c r="I100" s="197">
        <v>269</v>
      </c>
      <c r="J100" s="200">
        <f t="shared" si="2"/>
        <v>0.37569832402234637</v>
      </c>
      <c r="K100" s="197">
        <v>501</v>
      </c>
      <c r="L100" s="197">
        <v>0</v>
      </c>
      <c r="M100" s="201">
        <f t="shared" si="3"/>
        <v>0</v>
      </c>
      <c r="N100" s="5" t="s">
        <v>3723</v>
      </c>
    </row>
    <row r="101" spans="1:14" x14ac:dyDescent="0.25">
      <c r="A101" s="198" t="s">
        <v>707</v>
      </c>
      <c r="B101" s="199" t="s">
        <v>3529</v>
      </c>
      <c r="C101" s="89" t="s">
        <v>631</v>
      </c>
      <c r="D101" s="118" t="s">
        <v>3117</v>
      </c>
      <c r="E101" s="5" t="s">
        <v>3513</v>
      </c>
      <c r="F101" s="5" t="s">
        <v>3514</v>
      </c>
      <c r="G101" s="5" t="s">
        <v>625</v>
      </c>
      <c r="H101" s="61">
        <v>730</v>
      </c>
      <c r="I101" s="61">
        <v>204</v>
      </c>
      <c r="J101" s="200">
        <f t="shared" si="2"/>
        <v>0.27945205479452057</v>
      </c>
      <c r="K101" s="61">
        <v>652</v>
      </c>
      <c r="L101" s="61">
        <v>0</v>
      </c>
      <c r="M101" s="201">
        <f t="shared" si="3"/>
        <v>0</v>
      </c>
      <c r="N101" s="5" t="s">
        <v>3723</v>
      </c>
    </row>
    <row r="102" spans="1:14" x14ac:dyDescent="0.25">
      <c r="A102" s="198" t="s">
        <v>409</v>
      </c>
      <c r="B102" s="199" t="s">
        <v>3530</v>
      </c>
      <c r="C102" s="89" t="s">
        <v>621</v>
      </c>
      <c r="D102" s="118" t="s">
        <v>3117</v>
      </c>
      <c r="E102" s="5" t="s">
        <v>3531</v>
      </c>
      <c r="F102" s="5" t="s">
        <v>3532</v>
      </c>
      <c r="G102" s="5" t="s">
        <v>625</v>
      </c>
      <c r="H102" s="61">
        <v>563</v>
      </c>
      <c r="I102" s="61">
        <v>304</v>
      </c>
      <c r="J102" s="200">
        <f t="shared" si="2"/>
        <v>0.53996447602131437</v>
      </c>
      <c r="K102" s="61">
        <v>501</v>
      </c>
      <c r="L102" s="61">
        <v>0</v>
      </c>
      <c r="M102" s="201">
        <f t="shared" si="3"/>
        <v>0</v>
      </c>
      <c r="N102" s="5" t="s">
        <v>3723</v>
      </c>
    </row>
    <row r="103" spans="1:14" x14ac:dyDescent="0.25">
      <c r="A103" s="198" t="s">
        <v>409</v>
      </c>
      <c r="B103" s="199" t="s">
        <v>3533</v>
      </c>
      <c r="C103" s="89" t="s">
        <v>631</v>
      </c>
      <c r="D103" s="118" t="s">
        <v>3117</v>
      </c>
      <c r="E103" s="5" t="s">
        <v>3534</v>
      </c>
      <c r="F103" s="5" t="s">
        <v>3535</v>
      </c>
      <c r="G103" s="5" t="s">
        <v>625</v>
      </c>
      <c r="H103" s="61">
        <v>336</v>
      </c>
      <c r="I103" s="61">
        <v>265</v>
      </c>
      <c r="J103" s="200">
        <f t="shared" si="2"/>
        <v>0.78869047619047616</v>
      </c>
      <c r="K103" s="61">
        <v>546</v>
      </c>
      <c r="L103" s="61">
        <v>0</v>
      </c>
      <c r="M103" s="201">
        <f t="shared" si="3"/>
        <v>0</v>
      </c>
      <c r="N103" s="5" t="s">
        <v>3723</v>
      </c>
    </row>
    <row r="104" spans="1:14" x14ac:dyDescent="0.25">
      <c r="A104" s="198" t="s">
        <v>732</v>
      </c>
      <c r="B104" s="199" t="s">
        <v>3536</v>
      </c>
      <c r="C104" s="89" t="s">
        <v>659</v>
      </c>
      <c r="D104" s="118" t="s">
        <v>3117</v>
      </c>
      <c r="E104" s="5" t="s">
        <v>3504</v>
      </c>
      <c r="F104" s="5" t="s">
        <v>3505</v>
      </c>
      <c r="G104" s="5" t="s">
        <v>625</v>
      </c>
      <c r="H104" s="61">
        <v>661</v>
      </c>
      <c r="I104" s="61">
        <v>171</v>
      </c>
      <c r="J104" s="200">
        <f t="shared" si="2"/>
        <v>0.25869894099848711</v>
      </c>
      <c r="K104" s="61">
        <v>693</v>
      </c>
      <c r="L104" s="61">
        <v>1</v>
      </c>
      <c r="M104" s="202">
        <f t="shared" si="3"/>
        <v>1.443001443001443E-3</v>
      </c>
      <c r="N104" s="5" t="s">
        <v>3723</v>
      </c>
    </row>
    <row r="105" spans="1:14" x14ac:dyDescent="0.25">
      <c r="A105" s="198" t="s">
        <v>732</v>
      </c>
      <c r="B105" s="199" t="s">
        <v>3537</v>
      </c>
      <c r="C105" s="89" t="s">
        <v>677</v>
      </c>
      <c r="D105" s="118" t="s">
        <v>3117</v>
      </c>
      <c r="E105" s="5" t="s">
        <v>3522</v>
      </c>
      <c r="F105" s="5" t="s">
        <v>3523</v>
      </c>
      <c r="G105" s="5" t="s">
        <v>625</v>
      </c>
      <c r="H105" s="61">
        <v>728</v>
      </c>
      <c r="I105" s="61">
        <v>142</v>
      </c>
      <c r="J105" s="200">
        <f>I105/H105</f>
        <v>0.19505494505494506</v>
      </c>
      <c r="K105" s="61">
        <v>612</v>
      </c>
      <c r="L105" s="61">
        <v>0</v>
      </c>
      <c r="M105" s="201">
        <f>L105/K105</f>
        <v>0</v>
      </c>
      <c r="N105" s="5" t="s">
        <v>3723</v>
      </c>
    </row>
    <row r="106" spans="1:14" x14ac:dyDescent="0.25">
      <c r="A106" s="198" t="s">
        <v>743</v>
      </c>
      <c r="B106" s="199" t="s">
        <v>744</v>
      </c>
      <c r="C106" s="89" t="s">
        <v>631</v>
      </c>
      <c r="D106" s="118" t="s">
        <v>3117</v>
      </c>
      <c r="E106" s="5" t="s">
        <v>3527</v>
      </c>
      <c r="F106" s="5" t="s">
        <v>3528</v>
      </c>
      <c r="G106" s="5" t="s">
        <v>625</v>
      </c>
      <c r="H106" s="61">
        <v>502</v>
      </c>
      <c r="I106" s="61">
        <v>183</v>
      </c>
      <c r="J106" s="200">
        <f t="shared" si="2"/>
        <v>0.36454183266932272</v>
      </c>
      <c r="K106" s="61">
        <v>457</v>
      </c>
      <c r="L106" s="61">
        <v>2</v>
      </c>
      <c r="M106" s="202">
        <f t="shared" si="3"/>
        <v>4.3763676148796497E-3</v>
      </c>
      <c r="N106" s="5" t="s">
        <v>3723</v>
      </c>
    </row>
    <row r="107" spans="1:14" x14ac:dyDescent="0.25">
      <c r="A107" s="198" t="s">
        <v>743</v>
      </c>
      <c r="B107" s="199" t="s">
        <v>3538</v>
      </c>
      <c r="C107" s="89" t="s">
        <v>631</v>
      </c>
      <c r="D107" s="118" t="s">
        <v>3117</v>
      </c>
      <c r="E107" s="5" t="s">
        <v>3513</v>
      </c>
      <c r="F107" s="5" t="s">
        <v>3514</v>
      </c>
      <c r="G107" s="5" t="s">
        <v>625</v>
      </c>
      <c r="H107" s="61">
        <v>629</v>
      </c>
      <c r="I107" s="61">
        <v>171</v>
      </c>
      <c r="J107" s="200">
        <f t="shared" si="2"/>
        <v>0.27186009538950717</v>
      </c>
      <c r="K107" s="61">
        <v>555</v>
      </c>
      <c r="L107" s="61">
        <v>0</v>
      </c>
      <c r="M107" s="201">
        <f t="shared" si="3"/>
        <v>0</v>
      </c>
      <c r="N107" s="5" t="s">
        <v>3723</v>
      </c>
    </row>
    <row r="108" spans="1:14" x14ac:dyDescent="0.25">
      <c r="A108" s="198" t="s">
        <v>747</v>
      </c>
      <c r="B108" s="199" t="s">
        <v>753</v>
      </c>
      <c r="C108" s="89" t="s">
        <v>631</v>
      </c>
      <c r="D108" s="118" t="s">
        <v>3117</v>
      </c>
      <c r="E108" s="5" t="s">
        <v>3539</v>
      </c>
      <c r="F108" s="5" t="s">
        <v>3540</v>
      </c>
      <c r="G108" s="5" t="s">
        <v>625</v>
      </c>
      <c r="H108" s="61">
        <v>609</v>
      </c>
      <c r="I108" s="61">
        <v>167</v>
      </c>
      <c r="J108" s="200">
        <f t="shared" si="2"/>
        <v>0.27422003284072249</v>
      </c>
      <c r="K108" s="61">
        <v>529</v>
      </c>
      <c r="L108" s="61">
        <v>0</v>
      </c>
      <c r="M108" s="201">
        <f t="shared" si="3"/>
        <v>0</v>
      </c>
      <c r="N108" s="5" t="s">
        <v>3723</v>
      </c>
    </row>
    <row r="109" spans="1:14" x14ac:dyDescent="0.25">
      <c r="A109" s="198" t="s">
        <v>747</v>
      </c>
      <c r="B109" s="199" t="s">
        <v>3541</v>
      </c>
      <c r="C109" s="89" t="s">
        <v>3526</v>
      </c>
      <c r="D109" s="118" t="s">
        <v>3117</v>
      </c>
      <c r="E109" s="5" t="s">
        <v>3507</v>
      </c>
      <c r="F109" s="5" t="s">
        <v>3508</v>
      </c>
      <c r="G109" s="5" t="s">
        <v>714</v>
      </c>
      <c r="H109" s="197">
        <v>46</v>
      </c>
      <c r="I109" s="197">
        <v>4</v>
      </c>
      <c r="J109" s="200">
        <f t="shared" si="2"/>
        <v>8.6956521739130432E-2</v>
      </c>
      <c r="K109" s="197">
        <v>41</v>
      </c>
      <c r="L109" s="197">
        <v>0</v>
      </c>
      <c r="M109" s="201">
        <f t="shared" si="3"/>
        <v>0</v>
      </c>
      <c r="N109" s="5" t="s">
        <v>3723</v>
      </c>
    </row>
    <row r="110" spans="1:14" x14ac:dyDescent="0.25">
      <c r="A110" s="198" t="s">
        <v>754</v>
      </c>
      <c r="B110" s="199" t="s">
        <v>3542</v>
      </c>
      <c r="C110" s="89" t="s">
        <v>631</v>
      </c>
      <c r="D110" s="118" t="s">
        <v>3117</v>
      </c>
      <c r="E110" s="5" t="s">
        <v>3543</v>
      </c>
      <c r="F110" s="5" t="s">
        <v>3544</v>
      </c>
      <c r="G110" s="5" t="s">
        <v>625</v>
      </c>
      <c r="H110" s="61">
        <v>436</v>
      </c>
      <c r="I110" s="61">
        <v>224</v>
      </c>
      <c r="J110" s="200">
        <f t="shared" si="2"/>
        <v>0.51376146788990829</v>
      </c>
      <c r="K110" s="61">
        <v>451</v>
      </c>
      <c r="L110" s="61">
        <v>0</v>
      </c>
      <c r="M110" s="201">
        <f t="shared" si="3"/>
        <v>0</v>
      </c>
      <c r="N110" s="5" t="s">
        <v>3723</v>
      </c>
    </row>
    <row r="111" spans="1:14" x14ac:dyDescent="0.25">
      <c r="A111" s="198" t="s">
        <v>14</v>
      </c>
      <c r="B111" s="199" t="s">
        <v>3545</v>
      </c>
      <c r="C111" s="89" t="s">
        <v>631</v>
      </c>
      <c r="D111" s="118" t="s">
        <v>3117</v>
      </c>
      <c r="E111" s="5" t="s">
        <v>3510</v>
      </c>
      <c r="F111" s="5" t="s">
        <v>3511</v>
      </c>
      <c r="G111" s="5" t="s">
        <v>625</v>
      </c>
      <c r="H111" s="61">
        <v>368</v>
      </c>
      <c r="I111" s="61">
        <v>76</v>
      </c>
      <c r="J111" s="200">
        <f t="shared" si="2"/>
        <v>0.20652173913043478</v>
      </c>
      <c r="K111" s="61">
        <v>412</v>
      </c>
      <c r="L111" s="61">
        <v>0</v>
      </c>
      <c r="M111" s="201">
        <f t="shared" si="3"/>
        <v>0</v>
      </c>
      <c r="N111" s="5" t="s">
        <v>3723</v>
      </c>
    </row>
    <row r="112" spans="1:14" x14ac:dyDescent="0.25">
      <c r="A112" s="198" t="s">
        <v>14</v>
      </c>
      <c r="B112" s="199" t="s">
        <v>3545</v>
      </c>
      <c r="C112" s="89" t="s">
        <v>631</v>
      </c>
      <c r="D112" s="118" t="s">
        <v>3117</v>
      </c>
      <c r="E112" s="5" t="s">
        <v>3507</v>
      </c>
      <c r="F112" s="5" t="s">
        <v>3508</v>
      </c>
      <c r="G112" s="5" t="s">
        <v>625</v>
      </c>
      <c r="H112" s="61">
        <v>348</v>
      </c>
      <c r="I112" s="61">
        <v>76</v>
      </c>
      <c r="J112" s="200">
        <f t="shared" si="2"/>
        <v>0.21839080459770116</v>
      </c>
      <c r="K112" s="61">
        <v>382</v>
      </c>
      <c r="L112" s="61">
        <v>0</v>
      </c>
      <c r="M112" s="201">
        <f t="shared" si="3"/>
        <v>0</v>
      </c>
      <c r="N112" s="5" t="s">
        <v>3723</v>
      </c>
    </row>
    <row r="113" spans="1:14" x14ac:dyDescent="0.25">
      <c r="A113" s="198" t="s">
        <v>14</v>
      </c>
      <c r="B113" s="199" t="s">
        <v>761</v>
      </c>
      <c r="C113" s="89" t="s">
        <v>631</v>
      </c>
      <c r="D113" s="118" t="s">
        <v>3117</v>
      </c>
      <c r="E113" s="5" t="s">
        <v>3501</v>
      </c>
      <c r="F113" s="5" t="s">
        <v>3502</v>
      </c>
      <c r="G113" s="5" t="s">
        <v>714</v>
      </c>
      <c r="H113" s="197">
        <v>366</v>
      </c>
      <c r="I113" s="197">
        <v>21</v>
      </c>
      <c r="J113" s="200">
        <f t="shared" si="2"/>
        <v>5.737704918032787E-2</v>
      </c>
      <c r="K113" s="197">
        <v>364</v>
      </c>
      <c r="L113" s="197">
        <v>0</v>
      </c>
      <c r="M113" s="201">
        <f t="shared" si="3"/>
        <v>0</v>
      </c>
      <c r="N113" s="5" t="s">
        <v>3723</v>
      </c>
    </row>
    <row r="114" spans="1:14" x14ac:dyDescent="0.25">
      <c r="A114" s="198" t="s">
        <v>14</v>
      </c>
      <c r="B114" s="199" t="s">
        <v>3545</v>
      </c>
      <c r="C114" s="89" t="s">
        <v>631</v>
      </c>
      <c r="D114" s="118" t="s">
        <v>3117</v>
      </c>
      <c r="E114" s="5" t="s">
        <v>3546</v>
      </c>
      <c r="F114" s="5" t="s">
        <v>3547</v>
      </c>
      <c r="G114" s="5" t="s">
        <v>625</v>
      </c>
      <c r="H114" s="61">
        <v>425</v>
      </c>
      <c r="I114" s="61">
        <v>108</v>
      </c>
      <c r="J114" s="200">
        <f t="shared" si="2"/>
        <v>0.2541176470588235</v>
      </c>
      <c r="K114" s="61">
        <v>424</v>
      </c>
      <c r="L114" s="61">
        <v>0</v>
      </c>
      <c r="M114" s="201">
        <f t="shared" si="3"/>
        <v>0</v>
      </c>
      <c r="N114" s="5" t="s">
        <v>3723</v>
      </c>
    </row>
    <row r="115" spans="1:14" x14ac:dyDescent="0.25">
      <c r="A115" s="198" t="s">
        <v>766</v>
      </c>
      <c r="B115" s="199" t="s">
        <v>3548</v>
      </c>
      <c r="C115" s="89" t="s">
        <v>631</v>
      </c>
      <c r="D115" s="118" t="s">
        <v>3117</v>
      </c>
      <c r="E115" s="5" t="s">
        <v>3513</v>
      </c>
      <c r="F115" s="5" t="s">
        <v>3514</v>
      </c>
      <c r="G115" s="5" t="s">
        <v>714</v>
      </c>
      <c r="H115" s="197">
        <v>1602</v>
      </c>
      <c r="I115" s="197">
        <v>74</v>
      </c>
      <c r="J115" s="200">
        <f t="shared" si="2"/>
        <v>4.6192259675405745E-2</v>
      </c>
      <c r="K115" s="197">
        <v>1642</v>
      </c>
      <c r="L115" s="197">
        <v>0</v>
      </c>
      <c r="M115" s="201">
        <f t="shared" si="3"/>
        <v>0</v>
      </c>
      <c r="N115" s="5" t="s">
        <v>3723</v>
      </c>
    </row>
    <row r="116" spans="1:14" x14ac:dyDescent="0.25">
      <c r="A116" s="198" t="s">
        <v>770</v>
      </c>
      <c r="B116" s="199" t="s">
        <v>3549</v>
      </c>
      <c r="C116" s="89" t="s">
        <v>659</v>
      </c>
      <c r="D116" s="118" t="s">
        <v>3117</v>
      </c>
      <c r="E116" s="5" t="s">
        <v>3546</v>
      </c>
      <c r="F116" s="5" t="s">
        <v>3547</v>
      </c>
      <c r="G116" s="5" t="s">
        <v>625</v>
      </c>
      <c r="H116" s="61">
        <v>735</v>
      </c>
      <c r="I116" s="61">
        <v>68</v>
      </c>
      <c r="J116" s="200">
        <f t="shared" si="2"/>
        <v>9.2517006802721083E-2</v>
      </c>
      <c r="K116" s="61">
        <v>657</v>
      </c>
      <c r="L116" s="61">
        <v>0</v>
      </c>
      <c r="M116" s="201">
        <f t="shared" si="3"/>
        <v>0</v>
      </c>
      <c r="N116" s="5" t="s">
        <v>3723</v>
      </c>
    </row>
    <row r="117" spans="1:14" x14ac:dyDescent="0.25">
      <c r="A117" s="198" t="s">
        <v>770</v>
      </c>
      <c r="B117" s="199" t="s">
        <v>3550</v>
      </c>
      <c r="C117" s="89" t="s">
        <v>659</v>
      </c>
      <c r="D117" s="118" t="s">
        <v>3117</v>
      </c>
      <c r="E117" s="5" t="s">
        <v>3531</v>
      </c>
      <c r="F117" s="5" t="s">
        <v>3532</v>
      </c>
      <c r="G117" s="5" t="s">
        <v>625</v>
      </c>
      <c r="H117" s="61">
        <v>626</v>
      </c>
      <c r="I117" s="61">
        <v>137</v>
      </c>
      <c r="J117" s="200">
        <f t="shared" si="2"/>
        <v>0.21884984025559107</v>
      </c>
      <c r="K117" s="61">
        <v>724</v>
      </c>
      <c r="L117" s="61">
        <v>0</v>
      </c>
      <c r="M117" s="201">
        <f t="shared" si="3"/>
        <v>0</v>
      </c>
      <c r="N117" s="5" t="s">
        <v>3723</v>
      </c>
    </row>
    <row r="118" spans="1:14" x14ac:dyDescent="0.25">
      <c r="A118" s="198" t="s">
        <v>17</v>
      </c>
      <c r="B118" s="199" t="s">
        <v>3551</v>
      </c>
      <c r="C118" s="89" t="s">
        <v>677</v>
      </c>
      <c r="D118" s="118" t="s">
        <v>3117</v>
      </c>
      <c r="E118" s="5" t="s">
        <v>3539</v>
      </c>
      <c r="F118" s="5" t="s">
        <v>3540</v>
      </c>
      <c r="G118" s="5" t="s">
        <v>714</v>
      </c>
      <c r="H118" s="197">
        <v>418</v>
      </c>
      <c r="I118" s="197">
        <v>109</v>
      </c>
      <c r="J118" s="200">
        <f t="shared" si="2"/>
        <v>0.26076555023923442</v>
      </c>
      <c r="K118" s="197">
        <v>611</v>
      </c>
      <c r="L118" s="197">
        <v>0</v>
      </c>
      <c r="M118" s="201">
        <f t="shared" si="3"/>
        <v>0</v>
      </c>
      <c r="N118" s="5" t="s">
        <v>3723</v>
      </c>
    </row>
    <row r="119" spans="1:14" x14ac:dyDescent="0.25">
      <c r="A119" s="198" t="s">
        <v>17</v>
      </c>
      <c r="B119" s="199" t="s">
        <v>3552</v>
      </c>
      <c r="C119" s="89" t="s">
        <v>659</v>
      </c>
      <c r="D119" s="118" t="s">
        <v>3117</v>
      </c>
      <c r="E119" s="5" t="s">
        <v>3513</v>
      </c>
      <c r="F119" s="5" t="s">
        <v>3514</v>
      </c>
      <c r="G119" s="5" t="s">
        <v>625</v>
      </c>
      <c r="H119" s="61">
        <v>473</v>
      </c>
      <c r="I119" s="61">
        <v>238</v>
      </c>
      <c r="J119" s="200">
        <f t="shared" si="2"/>
        <v>0.5031712473572939</v>
      </c>
      <c r="K119" s="61">
        <v>514</v>
      </c>
      <c r="L119" s="61">
        <v>2</v>
      </c>
      <c r="M119" s="202">
        <f t="shared" si="3"/>
        <v>3.8910505836575876E-3</v>
      </c>
      <c r="N119" s="5" t="s">
        <v>3723</v>
      </c>
    </row>
    <row r="120" spans="1:14" x14ac:dyDescent="0.25">
      <c r="A120" s="198" t="s">
        <v>787</v>
      </c>
      <c r="B120" s="199" t="s">
        <v>3553</v>
      </c>
      <c r="C120" s="89" t="s">
        <v>631</v>
      </c>
      <c r="D120" s="118" t="s">
        <v>3117</v>
      </c>
      <c r="E120" s="5" t="s">
        <v>3513</v>
      </c>
      <c r="F120" s="5" t="s">
        <v>3514</v>
      </c>
      <c r="G120" s="5" t="s">
        <v>625</v>
      </c>
      <c r="H120" s="61">
        <v>1026</v>
      </c>
      <c r="I120" s="61">
        <v>330</v>
      </c>
      <c r="J120" s="200">
        <f t="shared" si="2"/>
        <v>0.32163742690058478</v>
      </c>
      <c r="K120" s="61">
        <v>683</v>
      </c>
      <c r="L120" s="61">
        <v>4</v>
      </c>
      <c r="M120" s="202">
        <f t="shared" si="3"/>
        <v>5.8565153733528552E-3</v>
      </c>
      <c r="N120" s="5" t="s">
        <v>3723</v>
      </c>
    </row>
    <row r="121" spans="1:14" x14ac:dyDescent="0.25">
      <c r="A121" s="198" t="s">
        <v>787</v>
      </c>
      <c r="B121" s="199" t="s">
        <v>789</v>
      </c>
      <c r="C121" s="89" t="s">
        <v>631</v>
      </c>
      <c r="D121" s="118" t="s">
        <v>3117</v>
      </c>
      <c r="E121" s="5" t="s">
        <v>3507</v>
      </c>
      <c r="F121" s="5" t="s">
        <v>3508</v>
      </c>
      <c r="G121" s="5" t="s">
        <v>625</v>
      </c>
      <c r="H121" s="61">
        <v>690</v>
      </c>
      <c r="I121" s="61">
        <v>128</v>
      </c>
      <c r="J121" s="200">
        <f t="shared" si="2"/>
        <v>0.1855072463768116</v>
      </c>
      <c r="K121" s="61">
        <v>670</v>
      </c>
      <c r="L121" s="61">
        <v>0</v>
      </c>
      <c r="M121" s="201">
        <f t="shared" si="3"/>
        <v>0</v>
      </c>
      <c r="N121" s="5" t="s">
        <v>3723</v>
      </c>
    </row>
    <row r="122" spans="1:14" x14ac:dyDescent="0.25">
      <c r="A122" s="198" t="s">
        <v>3554</v>
      </c>
      <c r="B122" s="199" t="s">
        <v>3555</v>
      </c>
      <c r="C122" s="89" t="s">
        <v>677</v>
      </c>
      <c r="D122" s="118" t="s">
        <v>3117</v>
      </c>
      <c r="E122" s="5" t="s">
        <v>3507</v>
      </c>
      <c r="F122" s="5" t="s">
        <v>3508</v>
      </c>
      <c r="G122" s="5" t="s">
        <v>714</v>
      </c>
      <c r="H122" s="197">
        <v>493</v>
      </c>
      <c r="I122" s="197">
        <v>91</v>
      </c>
      <c r="J122" s="200">
        <f t="shared" si="2"/>
        <v>0.18458417849898581</v>
      </c>
      <c r="K122" s="197">
        <v>733</v>
      </c>
      <c r="L122" s="197">
        <v>0</v>
      </c>
      <c r="M122" s="201">
        <f t="shared" si="3"/>
        <v>0</v>
      </c>
      <c r="N122" s="5" t="s">
        <v>3723</v>
      </c>
    </row>
    <row r="123" spans="1:14" x14ac:dyDescent="0.25">
      <c r="A123" s="198" t="s">
        <v>13</v>
      </c>
      <c r="B123" s="199" t="s">
        <v>3556</v>
      </c>
      <c r="C123" s="89" t="s">
        <v>631</v>
      </c>
      <c r="D123" s="118" t="s">
        <v>3117</v>
      </c>
      <c r="E123" s="5" t="s">
        <v>3501</v>
      </c>
      <c r="F123" s="5" t="s">
        <v>3502</v>
      </c>
      <c r="G123" s="5" t="s">
        <v>714</v>
      </c>
      <c r="H123" s="197">
        <v>436</v>
      </c>
      <c r="I123" s="197">
        <v>26</v>
      </c>
      <c r="J123" s="200">
        <f t="shared" si="2"/>
        <v>5.9633027522935783E-2</v>
      </c>
      <c r="K123" s="197">
        <v>491</v>
      </c>
      <c r="L123" s="197">
        <v>2</v>
      </c>
      <c r="M123" s="202">
        <f t="shared" si="3"/>
        <v>4.0733197556008143E-3</v>
      </c>
      <c r="N123" s="5" t="s">
        <v>3723</v>
      </c>
    </row>
    <row r="124" spans="1:14" x14ac:dyDescent="0.25">
      <c r="A124" s="198" t="s">
        <v>13</v>
      </c>
      <c r="B124" s="199" t="s">
        <v>3557</v>
      </c>
      <c r="C124" s="89" t="s">
        <v>631</v>
      </c>
      <c r="D124" s="118" t="s">
        <v>3117</v>
      </c>
      <c r="E124" s="5" t="s">
        <v>3516</v>
      </c>
      <c r="F124" s="5" t="s">
        <v>3517</v>
      </c>
      <c r="G124" s="5" t="s">
        <v>714</v>
      </c>
      <c r="H124" s="197">
        <v>440</v>
      </c>
      <c r="I124" s="197">
        <v>28</v>
      </c>
      <c r="J124" s="200">
        <f t="shared" si="2"/>
        <v>6.363636363636363E-2</v>
      </c>
      <c r="K124" s="197">
        <v>385</v>
      </c>
      <c r="L124" s="197">
        <v>0</v>
      </c>
      <c r="M124" s="201">
        <f t="shared" si="3"/>
        <v>0</v>
      </c>
      <c r="N124" s="5" t="s">
        <v>3723</v>
      </c>
    </row>
    <row r="125" spans="1:14" x14ac:dyDescent="0.25">
      <c r="A125" s="198" t="s">
        <v>13</v>
      </c>
      <c r="B125" s="199" t="s">
        <v>3558</v>
      </c>
      <c r="C125" s="89" t="s">
        <v>652</v>
      </c>
      <c r="D125" s="118" t="s">
        <v>3117</v>
      </c>
      <c r="E125" s="5" t="s">
        <v>3543</v>
      </c>
      <c r="F125" s="5" t="s">
        <v>3544</v>
      </c>
      <c r="G125" s="5" t="s">
        <v>714</v>
      </c>
      <c r="H125" s="61">
        <v>375</v>
      </c>
      <c r="I125" s="61">
        <v>152</v>
      </c>
      <c r="J125" s="200">
        <f t="shared" si="2"/>
        <v>0.40533333333333332</v>
      </c>
      <c r="K125" s="61">
        <v>434</v>
      </c>
      <c r="L125" s="61">
        <v>0</v>
      </c>
      <c r="M125" s="201">
        <f t="shared" si="3"/>
        <v>0</v>
      </c>
      <c r="N125" s="5" t="s">
        <v>3723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8"/>
  <sheetViews>
    <sheetView zoomScale="55" zoomScaleNormal="55" workbookViewId="0">
      <selection activeCell="A2" sqref="A2"/>
    </sheetView>
  </sheetViews>
  <sheetFormatPr defaultRowHeight="15" x14ac:dyDescent="0.25"/>
  <cols>
    <col min="2" max="3" width="14.85546875" customWidth="1"/>
    <col min="10" max="10" width="101.7109375" bestFit="1" customWidth="1"/>
    <col min="11" max="11" width="30" bestFit="1" customWidth="1"/>
  </cols>
  <sheetData>
    <row r="1" spans="1:48" s="2" customFormat="1" x14ac:dyDescent="0.25">
      <c r="A1" s="28" t="s">
        <v>3761</v>
      </c>
      <c r="B1" s="29"/>
      <c r="C1" s="29"/>
      <c r="D1" s="29"/>
      <c r="E1" s="29"/>
      <c r="F1" s="29"/>
      <c r="G1" s="29"/>
      <c r="H1" s="29"/>
      <c r="I1" s="29"/>
      <c r="J1" s="29"/>
      <c r="K1" s="29"/>
      <c r="L1" s="29"/>
      <c r="M1" s="29"/>
      <c r="N1" s="29"/>
      <c r="O1" s="29"/>
      <c r="P1" s="29"/>
      <c r="Q1" s="29"/>
      <c r="R1" s="29"/>
      <c r="S1" s="29"/>
      <c r="T1" s="29"/>
      <c r="U1" s="29"/>
      <c r="V1" s="29"/>
      <c r="W1" s="29"/>
      <c r="X1" s="29"/>
      <c r="Y1" s="29"/>
      <c r="Z1" s="29"/>
      <c r="AA1" s="29"/>
      <c r="AV1" s="5"/>
    </row>
    <row r="2" spans="1:48" s="104" customFormat="1" x14ac:dyDescent="0.25">
      <c r="A2" s="133" t="s">
        <v>6</v>
      </c>
      <c r="B2" s="133" t="s">
        <v>3123</v>
      </c>
      <c r="C2" s="133" t="s">
        <v>3124</v>
      </c>
      <c r="D2" s="133" t="s">
        <v>3125</v>
      </c>
      <c r="E2" s="133" t="s">
        <v>3126</v>
      </c>
      <c r="F2" s="133" t="s">
        <v>3127</v>
      </c>
      <c r="G2" s="133" t="s">
        <v>3128</v>
      </c>
      <c r="H2" s="133" t="s">
        <v>3129</v>
      </c>
      <c r="I2" s="134" t="s">
        <v>3130</v>
      </c>
      <c r="J2" s="134" t="s">
        <v>3131</v>
      </c>
      <c r="K2" s="134" t="s">
        <v>3132</v>
      </c>
      <c r="L2" s="133" t="s">
        <v>3133</v>
      </c>
      <c r="M2" s="133" t="s">
        <v>3134</v>
      </c>
      <c r="N2" s="133" t="s">
        <v>3135</v>
      </c>
      <c r="O2" s="133" t="s">
        <v>3136</v>
      </c>
      <c r="P2" s="133" t="s">
        <v>3137</v>
      </c>
      <c r="Q2" s="133" t="s">
        <v>3138</v>
      </c>
      <c r="R2" s="133" t="s">
        <v>3139</v>
      </c>
      <c r="S2" s="133" t="s">
        <v>3140</v>
      </c>
      <c r="T2" s="133" t="s">
        <v>3141</v>
      </c>
      <c r="U2" s="133" t="s">
        <v>3142</v>
      </c>
      <c r="V2" s="133" t="s">
        <v>3143</v>
      </c>
      <c r="W2" s="133" t="s">
        <v>3144</v>
      </c>
      <c r="X2" s="133" t="s">
        <v>3145</v>
      </c>
      <c r="Y2" s="133" t="s">
        <v>3146</v>
      </c>
      <c r="Z2" s="133" t="s">
        <v>3147</v>
      </c>
      <c r="AA2" s="133" t="s">
        <v>3148</v>
      </c>
    </row>
    <row r="3" spans="1:48" x14ac:dyDescent="0.25">
      <c r="A3" s="126" t="s">
        <v>3161</v>
      </c>
      <c r="B3" s="130" t="s">
        <v>732</v>
      </c>
      <c r="C3" s="130" t="s">
        <v>575</v>
      </c>
      <c r="D3" s="126" t="s">
        <v>3152</v>
      </c>
      <c r="E3" s="126" t="s">
        <v>3152</v>
      </c>
      <c r="F3" s="126" t="s">
        <v>3152</v>
      </c>
      <c r="G3" s="126" t="s">
        <v>622</v>
      </c>
      <c r="H3" s="126" t="s">
        <v>3152</v>
      </c>
      <c r="I3" s="126" t="s">
        <v>560</v>
      </c>
      <c r="J3" s="126" t="s">
        <v>3162</v>
      </c>
      <c r="K3" s="126" t="s">
        <v>3154</v>
      </c>
      <c r="L3" s="126">
        <v>4</v>
      </c>
      <c r="M3" s="126">
        <v>10</v>
      </c>
      <c r="N3" s="126">
        <v>123243212</v>
      </c>
      <c r="O3" s="126">
        <v>10</v>
      </c>
      <c r="P3" s="126">
        <v>118708509</v>
      </c>
      <c r="Q3" s="126" t="s">
        <v>3163</v>
      </c>
      <c r="R3" s="126" t="s">
        <v>3164</v>
      </c>
      <c r="S3" s="126" t="s">
        <v>622</v>
      </c>
      <c r="T3" s="126" t="s">
        <v>622</v>
      </c>
      <c r="U3" s="126" t="s">
        <v>3157</v>
      </c>
      <c r="V3" s="126" t="s">
        <v>3165</v>
      </c>
      <c r="W3" s="126" t="s">
        <v>3166</v>
      </c>
      <c r="X3" s="126" t="s">
        <v>3167</v>
      </c>
      <c r="Y3" s="126">
        <v>0.38149</v>
      </c>
      <c r="Z3" s="126">
        <v>2263</v>
      </c>
      <c r="AA3" s="126">
        <v>57698</v>
      </c>
    </row>
    <row r="4" spans="1:48" x14ac:dyDescent="0.25">
      <c r="A4" s="126" t="s">
        <v>3168</v>
      </c>
      <c r="B4" s="130" t="s">
        <v>732</v>
      </c>
      <c r="C4" s="130" t="s">
        <v>580</v>
      </c>
      <c r="D4" s="126" t="s">
        <v>3152</v>
      </c>
      <c r="E4" s="126" t="s">
        <v>3152</v>
      </c>
      <c r="F4" s="126" t="s">
        <v>3152</v>
      </c>
      <c r="G4" s="126" t="s">
        <v>3152</v>
      </c>
      <c r="H4" s="126" t="s">
        <v>3152</v>
      </c>
      <c r="I4" s="126" t="s">
        <v>560</v>
      </c>
      <c r="J4" s="126" t="s">
        <v>3162</v>
      </c>
      <c r="K4" s="126" t="s">
        <v>3154</v>
      </c>
      <c r="L4" s="126">
        <v>5</v>
      </c>
      <c r="M4" s="126">
        <v>10</v>
      </c>
      <c r="N4" s="126">
        <v>123243212</v>
      </c>
      <c r="O4" s="126">
        <v>10</v>
      </c>
      <c r="P4" s="126">
        <v>60566344</v>
      </c>
      <c r="Q4" s="126" t="s">
        <v>3163</v>
      </c>
      <c r="R4" s="126" t="s">
        <v>3169</v>
      </c>
      <c r="S4" s="126" t="s">
        <v>622</v>
      </c>
      <c r="T4" s="126" t="s">
        <v>620</v>
      </c>
      <c r="U4" s="126" t="s">
        <v>3157</v>
      </c>
      <c r="V4" s="126" t="s">
        <v>3165</v>
      </c>
      <c r="W4" s="126" t="s">
        <v>3170</v>
      </c>
      <c r="X4" s="126" t="s">
        <v>3171</v>
      </c>
      <c r="Y4" s="126">
        <v>0.38307999999999998</v>
      </c>
      <c r="Z4" s="126">
        <v>2263</v>
      </c>
      <c r="AA4" s="126">
        <v>80114</v>
      </c>
    </row>
    <row r="5" spans="1:48" x14ac:dyDescent="0.25">
      <c r="A5" s="126" t="s">
        <v>3172</v>
      </c>
      <c r="B5" s="130" t="s">
        <v>732</v>
      </c>
      <c r="C5" s="130" t="s">
        <v>3173</v>
      </c>
      <c r="D5" s="126" t="s">
        <v>3152</v>
      </c>
      <c r="E5" s="126" t="s">
        <v>3152</v>
      </c>
      <c r="F5" s="126" t="s">
        <v>3152</v>
      </c>
      <c r="G5" s="126" t="s">
        <v>622</v>
      </c>
      <c r="H5" s="126" t="s">
        <v>3152</v>
      </c>
      <c r="I5" s="126" t="s">
        <v>560</v>
      </c>
      <c r="J5" s="126" t="s">
        <v>3162</v>
      </c>
      <c r="K5" s="126" t="s">
        <v>3154</v>
      </c>
      <c r="L5" s="126">
        <v>4</v>
      </c>
      <c r="M5" s="126">
        <v>10</v>
      </c>
      <c r="N5" s="126">
        <v>123243212</v>
      </c>
      <c r="O5" s="126">
        <v>10</v>
      </c>
      <c r="P5" s="126">
        <v>115910980</v>
      </c>
      <c r="Q5" s="126" t="s">
        <v>3163</v>
      </c>
      <c r="R5" s="126" t="s">
        <v>3174</v>
      </c>
      <c r="S5" s="126" t="s">
        <v>622</v>
      </c>
      <c r="T5" s="126" t="s">
        <v>622</v>
      </c>
      <c r="U5" s="126" t="s">
        <v>3157</v>
      </c>
      <c r="V5" s="126" t="s">
        <v>3165</v>
      </c>
      <c r="W5" s="126" t="s">
        <v>3166</v>
      </c>
      <c r="X5" s="126" t="s">
        <v>3160</v>
      </c>
      <c r="Y5" s="126">
        <v>0.38214999999999999</v>
      </c>
      <c r="Z5" s="126">
        <v>2263</v>
      </c>
      <c r="AA5" s="126">
        <v>55088</v>
      </c>
    </row>
    <row r="6" spans="1:48" x14ac:dyDescent="0.25">
      <c r="A6" s="126" t="s">
        <v>3175</v>
      </c>
      <c r="B6" s="130" t="s">
        <v>732</v>
      </c>
      <c r="C6" s="130" t="s">
        <v>580</v>
      </c>
      <c r="D6" s="126" t="s">
        <v>3152</v>
      </c>
      <c r="E6" s="126" t="s">
        <v>3152</v>
      </c>
      <c r="F6" s="126" t="s">
        <v>3152</v>
      </c>
      <c r="G6" s="126" t="s">
        <v>3152</v>
      </c>
      <c r="H6" s="126" t="s">
        <v>3152</v>
      </c>
      <c r="I6" s="126" t="s">
        <v>560</v>
      </c>
      <c r="J6" s="126" t="s">
        <v>3162</v>
      </c>
      <c r="K6" s="126" t="s">
        <v>3154</v>
      </c>
      <c r="L6" s="126">
        <v>5</v>
      </c>
      <c r="M6" s="126">
        <v>10</v>
      </c>
      <c r="N6" s="126">
        <v>123243212</v>
      </c>
      <c r="O6" s="126">
        <v>10</v>
      </c>
      <c r="P6" s="126">
        <v>60461834</v>
      </c>
      <c r="Q6" s="126" t="s">
        <v>3163</v>
      </c>
      <c r="R6" s="126" t="s">
        <v>3169</v>
      </c>
      <c r="S6" s="126" t="s">
        <v>622</v>
      </c>
      <c r="T6" s="126" t="s">
        <v>620</v>
      </c>
      <c r="U6" s="126" t="s">
        <v>3157</v>
      </c>
      <c r="V6" s="126" t="s">
        <v>3165</v>
      </c>
      <c r="W6" s="126" t="s">
        <v>3176</v>
      </c>
      <c r="X6" s="126" t="s">
        <v>3160</v>
      </c>
      <c r="Y6" s="126">
        <v>0.38307999999999998</v>
      </c>
      <c r="Z6" s="126">
        <v>2263</v>
      </c>
      <c r="AA6" s="126">
        <v>80114</v>
      </c>
    </row>
    <row r="7" spans="1:48" x14ac:dyDescent="0.25">
      <c r="A7" s="127" t="s">
        <v>3202</v>
      </c>
      <c r="B7" s="131" t="s">
        <v>732</v>
      </c>
      <c r="C7" s="131" t="s">
        <v>602</v>
      </c>
      <c r="D7" s="127" t="s">
        <v>622</v>
      </c>
      <c r="E7" s="127" t="s">
        <v>3152</v>
      </c>
      <c r="F7" s="127" t="s">
        <v>3152</v>
      </c>
      <c r="G7" s="127" t="s">
        <v>622</v>
      </c>
      <c r="H7" s="127" t="s">
        <v>3152</v>
      </c>
      <c r="I7" s="127" t="s">
        <v>560</v>
      </c>
      <c r="J7" s="127" t="s">
        <v>3436</v>
      </c>
      <c r="K7" s="127" t="s">
        <v>3435</v>
      </c>
      <c r="L7" s="127">
        <v>3</v>
      </c>
      <c r="M7" s="127">
        <v>10</v>
      </c>
      <c r="N7" s="127">
        <v>123263304</v>
      </c>
      <c r="O7" s="127">
        <v>6</v>
      </c>
      <c r="P7" s="127">
        <v>116325162</v>
      </c>
      <c r="Q7" s="127" t="s">
        <v>3163</v>
      </c>
      <c r="R7" s="127" t="s">
        <v>3296</v>
      </c>
      <c r="S7" s="127" t="s">
        <v>622</v>
      </c>
      <c r="T7" s="127" t="s">
        <v>622</v>
      </c>
      <c r="U7" s="127" t="s">
        <v>3157</v>
      </c>
      <c r="V7" s="127" t="s">
        <v>3165</v>
      </c>
      <c r="W7" s="127" t="s">
        <v>3297</v>
      </c>
      <c r="X7" s="127" t="s">
        <v>3298</v>
      </c>
      <c r="Y7" s="127">
        <v>0.38630999999999999</v>
      </c>
      <c r="Z7" s="127">
        <v>2263</v>
      </c>
      <c r="AA7" s="127">
        <v>2444</v>
      </c>
    </row>
    <row r="8" spans="1:48" x14ac:dyDescent="0.25">
      <c r="A8" s="128" t="s">
        <v>3235</v>
      </c>
      <c r="B8" s="132" t="s">
        <v>3236</v>
      </c>
      <c r="C8" s="132" t="s">
        <v>1157</v>
      </c>
      <c r="D8" s="128" t="s">
        <v>3152</v>
      </c>
      <c r="E8" s="128" t="s">
        <v>3152</v>
      </c>
      <c r="F8" s="128" t="s">
        <v>3152</v>
      </c>
      <c r="G8" s="128" t="s">
        <v>3152</v>
      </c>
      <c r="H8" s="128" t="s">
        <v>3152</v>
      </c>
      <c r="I8" s="128" t="s">
        <v>560</v>
      </c>
      <c r="J8" s="128" t="s">
        <v>3237</v>
      </c>
      <c r="K8" s="128" t="s">
        <v>3154</v>
      </c>
      <c r="L8" s="128">
        <v>5</v>
      </c>
      <c r="M8" s="128">
        <v>3</v>
      </c>
      <c r="N8" s="128">
        <v>100438903</v>
      </c>
      <c r="O8" s="128">
        <v>3</v>
      </c>
      <c r="P8" s="128">
        <v>100348442</v>
      </c>
      <c r="Q8" s="128" t="s">
        <v>3238</v>
      </c>
      <c r="R8" s="128" t="s">
        <v>3239</v>
      </c>
      <c r="S8" s="128" t="s">
        <v>620</v>
      </c>
      <c r="T8" s="128" t="s">
        <v>620</v>
      </c>
      <c r="U8" s="128" t="s">
        <v>3157</v>
      </c>
      <c r="V8" s="128" t="s">
        <v>3165</v>
      </c>
      <c r="W8" s="128" t="s">
        <v>3240</v>
      </c>
      <c r="X8" s="128" t="s">
        <v>3160</v>
      </c>
      <c r="Y8" s="128">
        <v>0.37464999999999998</v>
      </c>
      <c r="Z8" s="128">
        <v>10342</v>
      </c>
      <c r="AA8" s="128">
        <v>84873</v>
      </c>
    </row>
    <row r="9" spans="1:48" x14ac:dyDescent="0.25">
      <c r="A9" s="128" t="s">
        <v>3202</v>
      </c>
      <c r="B9" s="132" t="s">
        <v>3236</v>
      </c>
      <c r="C9" s="132" t="s">
        <v>1157</v>
      </c>
      <c r="D9" s="128" t="s">
        <v>3152</v>
      </c>
      <c r="E9" s="128" t="s">
        <v>3152</v>
      </c>
      <c r="F9" s="128" t="s">
        <v>3152</v>
      </c>
      <c r="G9" s="128" t="s">
        <v>3152</v>
      </c>
      <c r="H9" s="128" t="s">
        <v>3152</v>
      </c>
      <c r="I9" s="128" t="s">
        <v>560</v>
      </c>
      <c r="J9" s="128" t="s">
        <v>3237</v>
      </c>
      <c r="K9" s="128" t="s">
        <v>3154</v>
      </c>
      <c r="L9" s="128">
        <v>5</v>
      </c>
      <c r="M9" s="128">
        <v>3</v>
      </c>
      <c r="N9" s="128">
        <v>100438903</v>
      </c>
      <c r="O9" s="128">
        <v>3</v>
      </c>
      <c r="P9" s="128">
        <v>100348442</v>
      </c>
      <c r="Q9" s="128" t="s">
        <v>3238</v>
      </c>
      <c r="R9" s="128" t="s">
        <v>3239</v>
      </c>
      <c r="S9" s="128" t="s">
        <v>620</v>
      </c>
      <c r="T9" s="128" t="s">
        <v>620</v>
      </c>
      <c r="U9" s="128" t="s">
        <v>3157</v>
      </c>
      <c r="V9" s="128" t="s">
        <v>3165</v>
      </c>
      <c r="W9" s="128" t="s">
        <v>3240</v>
      </c>
      <c r="X9" s="128" t="s">
        <v>3160</v>
      </c>
      <c r="Y9" s="128">
        <v>0.37464999999999998</v>
      </c>
      <c r="Z9" s="128">
        <v>10342</v>
      </c>
      <c r="AA9" s="128">
        <v>84873</v>
      </c>
    </row>
    <row r="10" spans="1:48" x14ac:dyDescent="0.25">
      <c r="A10" s="124" t="s">
        <v>3149</v>
      </c>
      <c r="B10" s="133" t="s">
        <v>3150</v>
      </c>
      <c r="C10" s="133" t="s">
        <v>3151</v>
      </c>
      <c r="D10" s="124" t="s">
        <v>622</v>
      </c>
      <c r="E10" s="124" t="s">
        <v>3152</v>
      </c>
      <c r="F10" s="124" t="s">
        <v>3152</v>
      </c>
      <c r="G10" s="124" t="s">
        <v>3152</v>
      </c>
      <c r="H10" s="124" t="s">
        <v>622</v>
      </c>
      <c r="I10" s="125" t="s">
        <v>560</v>
      </c>
      <c r="J10" s="125" t="s">
        <v>3153</v>
      </c>
      <c r="K10" s="125" t="s">
        <v>3154</v>
      </c>
      <c r="L10" s="124">
        <v>3</v>
      </c>
      <c r="M10" s="124">
        <v>17</v>
      </c>
      <c r="N10" s="124">
        <v>34313607</v>
      </c>
      <c r="O10" s="124">
        <v>17</v>
      </c>
      <c r="P10" s="124">
        <v>8526596</v>
      </c>
      <c r="Q10" s="124" t="s">
        <v>3155</v>
      </c>
      <c r="R10" s="124" t="s">
        <v>3156</v>
      </c>
      <c r="S10" s="124" t="s">
        <v>622</v>
      </c>
      <c r="T10" s="124" t="s">
        <v>622</v>
      </c>
      <c r="U10" s="124" t="s">
        <v>3157</v>
      </c>
      <c r="V10" s="124" t="s">
        <v>3158</v>
      </c>
      <c r="W10" s="124" t="s">
        <v>3159</v>
      </c>
      <c r="X10" s="124" t="s">
        <v>3160</v>
      </c>
      <c r="Y10" s="124">
        <v>0.37272</v>
      </c>
      <c r="Z10" s="124">
        <v>0</v>
      </c>
      <c r="AA10" s="124">
        <v>4628</v>
      </c>
    </row>
    <row r="11" spans="1:48" x14ac:dyDescent="0.25">
      <c r="A11" s="124" t="s">
        <v>3177</v>
      </c>
      <c r="B11" s="133" t="s">
        <v>3178</v>
      </c>
      <c r="C11" s="133" t="s">
        <v>3179</v>
      </c>
      <c r="D11" s="124" t="s">
        <v>3152</v>
      </c>
      <c r="E11" s="124" t="s">
        <v>3152</v>
      </c>
      <c r="F11" s="124" t="s">
        <v>3152</v>
      </c>
      <c r="G11" s="124" t="s">
        <v>622</v>
      </c>
      <c r="H11" s="124" t="s">
        <v>3152</v>
      </c>
      <c r="I11" s="125" t="s">
        <v>560</v>
      </c>
      <c r="J11" s="125" t="s">
        <v>3180</v>
      </c>
      <c r="K11" s="125" t="s">
        <v>3154</v>
      </c>
      <c r="L11" s="124">
        <v>4</v>
      </c>
      <c r="M11" s="124">
        <v>3</v>
      </c>
      <c r="N11" s="124">
        <v>71090479</v>
      </c>
      <c r="O11" s="124">
        <v>5</v>
      </c>
      <c r="P11" s="124">
        <v>145379621</v>
      </c>
      <c r="Q11" s="124" t="s">
        <v>3181</v>
      </c>
      <c r="R11" s="124" t="s">
        <v>3182</v>
      </c>
      <c r="S11" s="124" t="s">
        <v>622</v>
      </c>
      <c r="T11" s="124" t="s">
        <v>620</v>
      </c>
      <c r="U11" s="124" t="s">
        <v>3157</v>
      </c>
      <c r="V11" s="124" t="s">
        <v>3165</v>
      </c>
      <c r="W11" s="124" t="s">
        <v>3183</v>
      </c>
      <c r="X11" s="124" t="s">
        <v>3184</v>
      </c>
      <c r="Y11" s="124">
        <v>0.36368</v>
      </c>
      <c r="Z11" s="124">
        <v>27086</v>
      </c>
      <c r="AA11" s="124">
        <v>153769</v>
      </c>
    </row>
    <row r="12" spans="1:48" x14ac:dyDescent="0.25">
      <c r="A12" s="124" t="s">
        <v>3185</v>
      </c>
      <c r="B12" s="133" t="s">
        <v>3186</v>
      </c>
      <c r="C12" s="133" t="s">
        <v>3187</v>
      </c>
      <c r="D12" s="124" t="s">
        <v>3152</v>
      </c>
      <c r="E12" s="124" t="s">
        <v>3152</v>
      </c>
      <c r="F12" s="124" t="s">
        <v>3152</v>
      </c>
      <c r="G12" s="124" t="s">
        <v>622</v>
      </c>
      <c r="H12" s="124" t="s">
        <v>3152</v>
      </c>
      <c r="I12" s="125" t="s">
        <v>560</v>
      </c>
      <c r="J12" s="125" t="s">
        <v>3180</v>
      </c>
      <c r="K12" s="125" t="s">
        <v>3154</v>
      </c>
      <c r="L12" s="124">
        <v>4</v>
      </c>
      <c r="M12" s="124">
        <v>3</v>
      </c>
      <c r="N12" s="124">
        <v>190347288</v>
      </c>
      <c r="O12" s="124">
        <v>20</v>
      </c>
      <c r="P12" s="124">
        <v>1630055</v>
      </c>
      <c r="Q12" s="124" t="s">
        <v>3188</v>
      </c>
      <c r="R12" s="124" t="s">
        <v>3189</v>
      </c>
      <c r="S12" s="124" t="s">
        <v>620</v>
      </c>
      <c r="T12" s="124" t="s">
        <v>622</v>
      </c>
      <c r="U12" s="124" t="s">
        <v>3157</v>
      </c>
      <c r="V12" s="124" t="s">
        <v>3165</v>
      </c>
      <c r="W12" s="124" t="s">
        <v>3190</v>
      </c>
      <c r="X12" s="124" t="s">
        <v>3191</v>
      </c>
      <c r="Y12" s="124">
        <v>0.37080999999999997</v>
      </c>
      <c r="Z12" s="124">
        <v>3556</v>
      </c>
      <c r="AA12" s="124">
        <v>55423</v>
      </c>
    </row>
    <row r="13" spans="1:48" x14ac:dyDescent="0.25">
      <c r="A13" s="124" t="s">
        <v>3149</v>
      </c>
      <c r="B13" s="133" t="s">
        <v>3192</v>
      </c>
      <c r="C13" s="133" t="s">
        <v>770</v>
      </c>
      <c r="D13" s="124" t="s">
        <v>3152</v>
      </c>
      <c r="E13" s="124" t="s">
        <v>3152</v>
      </c>
      <c r="F13" s="124" t="s">
        <v>3152</v>
      </c>
      <c r="G13" s="124" t="s">
        <v>3152</v>
      </c>
      <c r="H13" s="124" t="s">
        <v>622</v>
      </c>
      <c r="I13" s="125" t="s">
        <v>560</v>
      </c>
      <c r="J13" s="125" t="s">
        <v>3180</v>
      </c>
      <c r="K13" s="125" t="s">
        <v>3154</v>
      </c>
      <c r="L13" s="124">
        <v>4</v>
      </c>
      <c r="M13" s="124">
        <v>17</v>
      </c>
      <c r="N13" s="124">
        <v>27492960</v>
      </c>
      <c r="O13" s="124">
        <v>17</v>
      </c>
      <c r="P13" s="124">
        <v>29483001</v>
      </c>
      <c r="Q13" s="124" t="s">
        <v>3193</v>
      </c>
      <c r="R13" s="124" t="s">
        <v>3194</v>
      </c>
      <c r="S13" s="124" t="s">
        <v>622</v>
      </c>
      <c r="T13" s="124" t="s">
        <v>620</v>
      </c>
      <c r="U13" s="124" t="s">
        <v>3157</v>
      </c>
      <c r="V13" s="124" t="s">
        <v>3195</v>
      </c>
      <c r="W13" s="124" t="s">
        <v>3196</v>
      </c>
      <c r="X13" s="124" t="s">
        <v>3197</v>
      </c>
      <c r="Y13" s="124">
        <v>0.37413000000000002</v>
      </c>
      <c r="Z13" s="124">
        <v>399687</v>
      </c>
      <c r="AA13" s="124">
        <v>4763</v>
      </c>
    </row>
    <row r="14" spans="1:48" x14ac:dyDescent="0.25">
      <c r="A14" s="124" t="s">
        <v>3149</v>
      </c>
      <c r="B14" s="133" t="s">
        <v>1335</v>
      </c>
      <c r="C14" s="133" t="s">
        <v>3198</v>
      </c>
      <c r="D14" s="124" t="s">
        <v>3152</v>
      </c>
      <c r="E14" s="124" t="s">
        <v>3152</v>
      </c>
      <c r="F14" s="124" t="s">
        <v>3152</v>
      </c>
      <c r="G14" s="124" t="s">
        <v>3152</v>
      </c>
      <c r="H14" s="124" t="s">
        <v>3152</v>
      </c>
      <c r="I14" s="125" t="s">
        <v>560</v>
      </c>
      <c r="J14" s="125"/>
      <c r="K14" s="125" t="s">
        <v>3154</v>
      </c>
      <c r="L14" s="124">
        <v>5</v>
      </c>
      <c r="M14" s="124">
        <v>17</v>
      </c>
      <c r="N14" s="124">
        <v>15973479</v>
      </c>
      <c r="O14" s="124">
        <v>17</v>
      </c>
      <c r="P14" s="124">
        <v>1959965</v>
      </c>
      <c r="Q14" s="124" t="s">
        <v>3199</v>
      </c>
      <c r="R14" s="124" t="s">
        <v>3200</v>
      </c>
      <c r="S14" s="124" t="s">
        <v>622</v>
      </c>
      <c r="T14" s="124" t="s">
        <v>620</v>
      </c>
      <c r="U14" s="124" t="s">
        <v>3157</v>
      </c>
      <c r="V14" s="124" t="s">
        <v>3195</v>
      </c>
      <c r="W14" s="124" t="s">
        <v>3201</v>
      </c>
      <c r="X14" s="124" t="s">
        <v>3160</v>
      </c>
      <c r="Y14" s="124">
        <v>0.38092999999999999</v>
      </c>
      <c r="Z14" s="124">
        <v>9611</v>
      </c>
      <c r="AA14" s="124">
        <v>3090</v>
      </c>
    </row>
    <row r="15" spans="1:48" x14ac:dyDescent="0.25">
      <c r="A15" s="124" t="s">
        <v>3202</v>
      </c>
      <c r="B15" s="133" t="s">
        <v>3203</v>
      </c>
      <c r="C15" s="133" t="s">
        <v>3204</v>
      </c>
      <c r="D15" s="124" t="s">
        <v>3152</v>
      </c>
      <c r="E15" s="124" t="s">
        <v>3152</v>
      </c>
      <c r="F15" s="124" t="s">
        <v>3152</v>
      </c>
      <c r="G15" s="124" t="s">
        <v>3152</v>
      </c>
      <c r="H15" s="124" t="s">
        <v>3152</v>
      </c>
      <c r="I15" s="125" t="s">
        <v>560</v>
      </c>
      <c r="J15" s="125" t="s">
        <v>3205</v>
      </c>
      <c r="K15" s="125" t="s">
        <v>3154</v>
      </c>
      <c r="L15" s="124">
        <v>5</v>
      </c>
      <c r="M15" s="124">
        <v>6</v>
      </c>
      <c r="N15" s="124">
        <v>128561180</v>
      </c>
      <c r="O15" s="124">
        <v>10</v>
      </c>
      <c r="P15" s="124">
        <v>112058549</v>
      </c>
      <c r="Q15" s="124" t="s">
        <v>3206</v>
      </c>
      <c r="R15" s="124" t="s">
        <v>3207</v>
      </c>
      <c r="S15" s="124" t="s">
        <v>622</v>
      </c>
      <c r="T15" s="124" t="s">
        <v>622</v>
      </c>
      <c r="U15" s="124" t="s">
        <v>3157</v>
      </c>
      <c r="V15" s="124" t="s">
        <v>3165</v>
      </c>
      <c r="W15" s="124" t="s">
        <v>3208</v>
      </c>
      <c r="X15" s="124" t="s">
        <v>3209</v>
      </c>
      <c r="Y15" s="124">
        <v>0.37413999999999997</v>
      </c>
      <c r="Z15" s="124">
        <v>5796</v>
      </c>
      <c r="AA15" s="124">
        <v>10285</v>
      </c>
    </row>
    <row r="16" spans="1:48" x14ac:dyDescent="0.25">
      <c r="A16" s="124" t="s">
        <v>3210</v>
      </c>
      <c r="B16" s="133" t="s">
        <v>3211</v>
      </c>
      <c r="C16" s="133" t="s">
        <v>3212</v>
      </c>
      <c r="D16" s="124" t="s">
        <v>3152</v>
      </c>
      <c r="E16" s="124" t="s">
        <v>3152</v>
      </c>
      <c r="F16" s="124" t="s">
        <v>3152</v>
      </c>
      <c r="G16" s="124" t="s">
        <v>3152</v>
      </c>
      <c r="H16" s="124" t="s">
        <v>3152</v>
      </c>
      <c r="I16" s="125" t="s">
        <v>560</v>
      </c>
      <c r="J16" s="125" t="s">
        <v>3180</v>
      </c>
      <c r="K16" s="125" t="s">
        <v>3154</v>
      </c>
      <c r="L16" s="124">
        <v>5</v>
      </c>
      <c r="M16" s="124">
        <v>1</v>
      </c>
      <c r="N16" s="124">
        <v>178269254</v>
      </c>
      <c r="O16" s="124">
        <v>1</v>
      </c>
      <c r="P16" s="124">
        <v>160310085</v>
      </c>
      <c r="Q16" s="124" t="s">
        <v>3213</v>
      </c>
      <c r="R16" s="124" t="s">
        <v>3214</v>
      </c>
      <c r="S16" s="124" t="s">
        <v>620</v>
      </c>
      <c r="T16" s="124" t="s">
        <v>622</v>
      </c>
      <c r="U16" s="124" t="s">
        <v>3157</v>
      </c>
      <c r="V16" s="124" t="s">
        <v>3165</v>
      </c>
      <c r="W16" s="124" t="s">
        <v>3215</v>
      </c>
      <c r="X16" s="124" t="s">
        <v>3216</v>
      </c>
      <c r="Y16" s="124">
        <v>0.37924999999999998</v>
      </c>
      <c r="Z16" s="124">
        <v>9462</v>
      </c>
      <c r="AA16" s="124">
        <v>1314</v>
      </c>
    </row>
    <row r="17" spans="1:27" x14ac:dyDescent="0.25">
      <c r="A17" s="124" t="s">
        <v>3149</v>
      </c>
      <c r="B17" s="133" t="s">
        <v>3217</v>
      </c>
      <c r="C17" s="133" t="s">
        <v>3218</v>
      </c>
      <c r="D17" s="124" t="s">
        <v>3152</v>
      </c>
      <c r="E17" s="124" t="s">
        <v>3152</v>
      </c>
      <c r="F17" s="124" t="s">
        <v>3152</v>
      </c>
      <c r="G17" s="124" t="s">
        <v>3152</v>
      </c>
      <c r="H17" s="124" t="s">
        <v>3152</v>
      </c>
      <c r="I17" s="125" t="s">
        <v>560</v>
      </c>
      <c r="J17" s="125" t="s">
        <v>3219</v>
      </c>
      <c r="K17" s="125" t="s">
        <v>3154</v>
      </c>
      <c r="L17" s="124">
        <v>5</v>
      </c>
      <c r="M17" s="124">
        <v>17</v>
      </c>
      <c r="N17" s="124">
        <v>4428489</v>
      </c>
      <c r="O17" s="124">
        <v>17</v>
      </c>
      <c r="P17" s="124">
        <v>30804539</v>
      </c>
      <c r="Q17" s="124" t="s">
        <v>3220</v>
      </c>
      <c r="R17" s="124" t="s">
        <v>3221</v>
      </c>
      <c r="S17" s="124" t="s">
        <v>620</v>
      </c>
      <c r="T17" s="124" t="s">
        <v>620</v>
      </c>
      <c r="U17" s="124" t="s">
        <v>3157</v>
      </c>
      <c r="V17" s="124" t="s">
        <v>3195</v>
      </c>
      <c r="W17" s="124" t="s">
        <v>3222</v>
      </c>
      <c r="X17" s="124" t="s">
        <v>3223</v>
      </c>
      <c r="Y17" s="124">
        <v>0.36280000000000001</v>
      </c>
      <c r="Z17" s="124">
        <v>124976</v>
      </c>
      <c r="AA17" s="124">
        <v>5717</v>
      </c>
    </row>
    <row r="18" spans="1:27" x14ac:dyDescent="0.25">
      <c r="A18" s="124" t="s">
        <v>3224</v>
      </c>
      <c r="B18" s="133" t="s">
        <v>3225</v>
      </c>
      <c r="C18" s="133" t="s">
        <v>3226</v>
      </c>
      <c r="D18" s="124" t="s">
        <v>622</v>
      </c>
      <c r="E18" s="124" t="s">
        <v>622</v>
      </c>
      <c r="F18" s="124" t="s">
        <v>3152</v>
      </c>
      <c r="G18" s="124" t="s">
        <v>622</v>
      </c>
      <c r="H18" s="124" t="s">
        <v>3152</v>
      </c>
      <c r="I18" s="125" t="s">
        <v>560</v>
      </c>
      <c r="J18" s="125" t="s">
        <v>3180</v>
      </c>
      <c r="K18" s="125" t="s">
        <v>3154</v>
      </c>
      <c r="L18" s="124">
        <v>2</v>
      </c>
      <c r="M18" s="124">
        <v>12</v>
      </c>
      <c r="N18" s="124">
        <v>64410793</v>
      </c>
      <c r="O18" s="124">
        <v>12</v>
      </c>
      <c r="P18" s="124">
        <v>65258448</v>
      </c>
      <c r="Q18" s="124" t="s">
        <v>3227</v>
      </c>
      <c r="R18" s="124" t="s">
        <v>3228</v>
      </c>
      <c r="S18" s="124" t="s">
        <v>620</v>
      </c>
      <c r="T18" s="124" t="s">
        <v>620</v>
      </c>
      <c r="U18" s="124" t="s">
        <v>3157</v>
      </c>
      <c r="V18" s="124" t="s">
        <v>3195</v>
      </c>
      <c r="W18" s="124" t="s">
        <v>3229</v>
      </c>
      <c r="X18" s="124" t="s">
        <v>3230</v>
      </c>
      <c r="Y18" s="124">
        <v>0.37602999999999998</v>
      </c>
      <c r="Z18" s="124">
        <v>57522</v>
      </c>
      <c r="AA18" s="124">
        <v>23329</v>
      </c>
    </row>
    <row r="19" spans="1:27" x14ac:dyDescent="0.25">
      <c r="A19" s="124" t="s">
        <v>3149</v>
      </c>
      <c r="B19" s="133" t="s">
        <v>3231</v>
      </c>
      <c r="C19" s="133" t="s">
        <v>1335</v>
      </c>
      <c r="D19" s="124" t="s">
        <v>3152</v>
      </c>
      <c r="E19" s="124" t="s">
        <v>3152</v>
      </c>
      <c r="F19" s="124" t="s">
        <v>3152</v>
      </c>
      <c r="G19" s="124" t="s">
        <v>3152</v>
      </c>
      <c r="H19" s="124" t="s">
        <v>3152</v>
      </c>
      <c r="I19" s="125" t="s">
        <v>560</v>
      </c>
      <c r="J19" s="125"/>
      <c r="K19" s="125" t="s">
        <v>3154</v>
      </c>
      <c r="L19" s="124">
        <v>5</v>
      </c>
      <c r="M19" s="124">
        <v>17</v>
      </c>
      <c r="N19" s="124">
        <v>27838011</v>
      </c>
      <c r="O19" s="124">
        <v>17</v>
      </c>
      <c r="P19" s="124">
        <v>15984042</v>
      </c>
      <c r="Q19" s="124" t="s">
        <v>3232</v>
      </c>
      <c r="R19" s="124" t="s">
        <v>3199</v>
      </c>
      <c r="S19" s="124" t="s">
        <v>620</v>
      </c>
      <c r="T19" s="124" t="s">
        <v>622</v>
      </c>
      <c r="U19" s="124" t="s">
        <v>3157</v>
      </c>
      <c r="V19" s="124" t="s">
        <v>3165</v>
      </c>
      <c r="W19" s="124" t="s">
        <v>3233</v>
      </c>
      <c r="X19" s="124" t="s">
        <v>3234</v>
      </c>
      <c r="Y19" s="124">
        <v>0.38120999999999999</v>
      </c>
      <c r="Z19" s="124">
        <v>57551</v>
      </c>
      <c r="AA19" s="124">
        <v>9611</v>
      </c>
    </row>
    <row r="20" spans="1:27" x14ac:dyDescent="0.25">
      <c r="A20" s="124" t="s">
        <v>3241</v>
      </c>
      <c r="B20" s="133" t="s">
        <v>3242</v>
      </c>
      <c r="C20" s="133" t="s">
        <v>3243</v>
      </c>
      <c r="D20" s="124" t="s">
        <v>3152</v>
      </c>
      <c r="E20" s="124" t="s">
        <v>3152</v>
      </c>
      <c r="F20" s="124" t="s">
        <v>3152</v>
      </c>
      <c r="G20" s="124" t="s">
        <v>622</v>
      </c>
      <c r="H20" s="124" t="s">
        <v>622</v>
      </c>
      <c r="I20" s="129" t="s">
        <v>560</v>
      </c>
      <c r="J20" s="129" t="s">
        <v>3244</v>
      </c>
      <c r="K20" s="129" t="s">
        <v>3245</v>
      </c>
      <c r="L20" s="124">
        <v>3</v>
      </c>
      <c r="M20" s="124">
        <v>19</v>
      </c>
      <c r="N20" s="124">
        <v>5265019</v>
      </c>
      <c r="O20" s="124">
        <v>19</v>
      </c>
      <c r="P20" s="124">
        <v>16198837</v>
      </c>
      <c r="Q20" s="124" t="s">
        <v>3246</v>
      </c>
      <c r="R20" s="124" t="s">
        <v>3247</v>
      </c>
      <c r="S20" s="124" t="s">
        <v>622</v>
      </c>
      <c r="T20" s="124" t="s">
        <v>620</v>
      </c>
      <c r="U20" s="124" t="s">
        <v>3157</v>
      </c>
      <c r="V20" s="124" t="s">
        <v>3195</v>
      </c>
      <c r="W20" s="124" t="s">
        <v>3248</v>
      </c>
      <c r="X20" s="124" t="s">
        <v>3249</v>
      </c>
      <c r="Y20" s="124">
        <v>0.37147000000000002</v>
      </c>
      <c r="Z20" s="124">
        <v>5802</v>
      </c>
      <c r="AA20" s="124">
        <v>7171</v>
      </c>
    </row>
    <row r="21" spans="1:27" x14ac:dyDescent="0.25">
      <c r="A21" s="124" t="s">
        <v>3149</v>
      </c>
      <c r="B21" s="133" t="s">
        <v>3250</v>
      </c>
      <c r="C21" s="133" t="s">
        <v>3251</v>
      </c>
      <c r="D21" s="124" t="s">
        <v>622</v>
      </c>
      <c r="E21" s="124" t="s">
        <v>622</v>
      </c>
      <c r="F21" s="124" t="s">
        <v>622</v>
      </c>
      <c r="G21" s="124" t="s">
        <v>3152</v>
      </c>
      <c r="H21" s="124" t="s">
        <v>3152</v>
      </c>
      <c r="I21" s="129" t="s">
        <v>3252</v>
      </c>
      <c r="J21" s="129" t="s">
        <v>3253</v>
      </c>
      <c r="K21" s="129" t="s">
        <v>3245</v>
      </c>
      <c r="L21" s="124">
        <v>2</v>
      </c>
      <c r="M21" s="124">
        <v>17</v>
      </c>
      <c r="N21" s="124">
        <v>1078009</v>
      </c>
      <c r="O21" s="124">
        <v>17</v>
      </c>
      <c r="P21" s="124">
        <v>1349498</v>
      </c>
      <c r="Q21" s="124" t="s">
        <v>3254</v>
      </c>
      <c r="R21" s="124" t="s">
        <v>3255</v>
      </c>
      <c r="S21" s="124" t="s">
        <v>622</v>
      </c>
      <c r="T21" s="124" t="s">
        <v>622</v>
      </c>
      <c r="U21" s="124" t="s">
        <v>3157</v>
      </c>
      <c r="V21" s="124" t="s">
        <v>3165</v>
      </c>
      <c r="W21" s="124" t="s">
        <v>3183</v>
      </c>
      <c r="X21" s="124" t="s">
        <v>3256</v>
      </c>
      <c r="Y21" s="124">
        <v>0.38186999999999999</v>
      </c>
      <c r="Z21" s="124">
        <v>29</v>
      </c>
      <c r="AA21" s="124">
        <v>1398</v>
      </c>
    </row>
    <row r="22" spans="1:27" x14ac:dyDescent="0.25">
      <c r="A22" s="124" t="s">
        <v>3168</v>
      </c>
      <c r="B22" s="133" t="s">
        <v>580</v>
      </c>
      <c r="C22" s="133" t="s">
        <v>732</v>
      </c>
      <c r="D22" s="124" t="s">
        <v>3152</v>
      </c>
      <c r="E22" s="124" t="s">
        <v>3152</v>
      </c>
      <c r="F22" s="124" t="s">
        <v>3152</v>
      </c>
      <c r="G22" s="124" t="s">
        <v>3152</v>
      </c>
      <c r="H22" s="124" t="s">
        <v>3152</v>
      </c>
      <c r="I22" s="129" t="s">
        <v>560</v>
      </c>
      <c r="J22" s="129" t="s">
        <v>3257</v>
      </c>
      <c r="K22" s="129" t="s">
        <v>3245</v>
      </c>
      <c r="L22" s="124">
        <v>5</v>
      </c>
      <c r="M22" s="124">
        <v>10</v>
      </c>
      <c r="N22" s="124">
        <v>60563003</v>
      </c>
      <c r="O22" s="124">
        <v>10</v>
      </c>
      <c r="P22" s="124">
        <v>123239536</v>
      </c>
      <c r="Q22" s="124" t="s">
        <v>3169</v>
      </c>
      <c r="R22" s="124" t="s">
        <v>3163</v>
      </c>
      <c r="S22" s="124" t="s">
        <v>620</v>
      </c>
      <c r="T22" s="124" t="s">
        <v>622</v>
      </c>
      <c r="U22" s="124" t="s">
        <v>3157</v>
      </c>
      <c r="V22" s="124" t="s">
        <v>3165</v>
      </c>
      <c r="W22" s="124" t="s">
        <v>3258</v>
      </c>
      <c r="X22" s="124" t="s">
        <v>3259</v>
      </c>
      <c r="Y22" s="124">
        <v>0.38307999999999998</v>
      </c>
      <c r="Z22" s="124">
        <v>80114</v>
      </c>
      <c r="AA22" s="124">
        <v>2263</v>
      </c>
    </row>
    <row r="23" spans="1:27" x14ac:dyDescent="0.25">
      <c r="A23" s="124" t="s">
        <v>3149</v>
      </c>
      <c r="B23" s="133" t="s">
        <v>3260</v>
      </c>
      <c r="C23" s="133" t="s">
        <v>1464</v>
      </c>
      <c r="D23" s="124" t="s">
        <v>3152</v>
      </c>
      <c r="E23" s="124" t="s">
        <v>622</v>
      </c>
      <c r="F23" s="124" t="s">
        <v>3152</v>
      </c>
      <c r="G23" s="124" t="s">
        <v>622</v>
      </c>
      <c r="H23" s="124" t="s">
        <v>622</v>
      </c>
      <c r="I23" s="129" t="s">
        <v>560</v>
      </c>
      <c r="J23" s="129" t="s">
        <v>3261</v>
      </c>
      <c r="K23" s="129" t="s">
        <v>3245</v>
      </c>
      <c r="L23" s="124">
        <v>2</v>
      </c>
      <c r="M23" s="124">
        <v>15</v>
      </c>
      <c r="N23" s="124">
        <v>40854971</v>
      </c>
      <c r="O23" s="124">
        <v>7</v>
      </c>
      <c r="P23" s="124">
        <v>26241389</v>
      </c>
      <c r="Q23" s="124" t="s">
        <v>3262</v>
      </c>
      <c r="R23" s="124" t="s">
        <v>3263</v>
      </c>
      <c r="S23" s="124" t="s">
        <v>622</v>
      </c>
      <c r="T23" s="124" t="s">
        <v>620</v>
      </c>
      <c r="U23" s="124" t="s">
        <v>3157</v>
      </c>
      <c r="V23" s="124" t="s">
        <v>3158</v>
      </c>
      <c r="W23" s="124" t="s">
        <v>3264</v>
      </c>
      <c r="X23" s="124" t="s">
        <v>3160</v>
      </c>
      <c r="Y23" s="124">
        <v>0.37237999999999999</v>
      </c>
      <c r="Z23" s="124">
        <v>90416</v>
      </c>
      <c r="AA23" s="124">
        <v>11335</v>
      </c>
    </row>
    <row r="24" spans="1:27" x14ac:dyDescent="0.25">
      <c r="A24" s="124" t="s">
        <v>3210</v>
      </c>
      <c r="B24" s="133" t="s">
        <v>3265</v>
      </c>
      <c r="C24" s="133" t="s">
        <v>3266</v>
      </c>
      <c r="D24" s="124" t="s">
        <v>622</v>
      </c>
      <c r="E24" s="124" t="s">
        <v>3152</v>
      </c>
      <c r="F24" s="124" t="s">
        <v>3152</v>
      </c>
      <c r="G24" s="124" t="s">
        <v>622</v>
      </c>
      <c r="H24" s="124" t="s">
        <v>622</v>
      </c>
      <c r="I24" s="129" t="s">
        <v>3252</v>
      </c>
      <c r="J24" s="129" t="s">
        <v>3253</v>
      </c>
      <c r="K24" s="129" t="s">
        <v>3245</v>
      </c>
      <c r="L24" s="124">
        <v>2</v>
      </c>
      <c r="M24" s="124">
        <v>2</v>
      </c>
      <c r="N24" s="124">
        <v>122363277</v>
      </c>
      <c r="O24" s="124">
        <v>2</v>
      </c>
      <c r="P24" s="124">
        <v>48047596</v>
      </c>
      <c r="Q24" s="124" t="s">
        <v>3267</v>
      </c>
      <c r="R24" s="124" t="s">
        <v>3268</v>
      </c>
      <c r="S24" s="124" t="s">
        <v>622</v>
      </c>
      <c r="T24" s="124" t="s">
        <v>622</v>
      </c>
      <c r="U24" s="124" t="s">
        <v>3157</v>
      </c>
      <c r="V24" s="124" t="s">
        <v>3195</v>
      </c>
      <c r="W24" s="124" t="s">
        <v>3269</v>
      </c>
      <c r="X24" s="124" t="s">
        <v>3270</v>
      </c>
      <c r="Y24" s="124">
        <v>0.36046</v>
      </c>
      <c r="Z24" s="124">
        <v>23332</v>
      </c>
      <c r="AA24" s="124">
        <v>80204</v>
      </c>
    </row>
    <row r="25" spans="1:27" x14ac:dyDescent="0.25">
      <c r="A25" s="124" t="s">
        <v>3271</v>
      </c>
      <c r="B25" s="133" t="s">
        <v>3272</v>
      </c>
      <c r="C25" s="133" t="s">
        <v>3273</v>
      </c>
      <c r="D25" s="124" t="s">
        <v>3152</v>
      </c>
      <c r="E25" s="124" t="s">
        <v>3152</v>
      </c>
      <c r="F25" s="124" t="s">
        <v>3152</v>
      </c>
      <c r="G25" s="124" t="s">
        <v>622</v>
      </c>
      <c r="H25" s="124" t="s">
        <v>622</v>
      </c>
      <c r="I25" s="129" t="s">
        <v>3252</v>
      </c>
      <c r="J25" s="129" t="s">
        <v>3253</v>
      </c>
      <c r="K25" s="129" t="s">
        <v>3245</v>
      </c>
      <c r="L25" s="124">
        <v>3</v>
      </c>
      <c r="M25" s="124">
        <v>6</v>
      </c>
      <c r="N25" s="124">
        <v>56391159</v>
      </c>
      <c r="O25" s="124">
        <v>6</v>
      </c>
      <c r="P25" s="124">
        <v>66205887</v>
      </c>
      <c r="Q25" s="124" t="s">
        <v>3274</v>
      </c>
      <c r="R25" s="124" t="s">
        <v>3275</v>
      </c>
      <c r="S25" s="124" t="s">
        <v>622</v>
      </c>
      <c r="T25" s="124" t="s">
        <v>622</v>
      </c>
      <c r="U25" s="124" t="s">
        <v>3157</v>
      </c>
      <c r="V25" s="124" t="s">
        <v>3158</v>
      </c>
      <c r="W25" s="124" t="s">
        <v>3276</v>
      </c>
      <c r="X25" s="124" t="s">
        <v>3160</v>
      </c>
      <c r="Y25" s="124">
        <v>0.37386000000000003</v>
      </c>
      <c r="Z25" s="124">
        <v>667</v>
      </c>
      <c r="AA25" s="124">
        <v>346007</v>
      </c>
    </row>
    <row r="26" spans="1:27" x14ac:dyDescent="0.25">
      <c r="A26" s="124" t="s">
        <v>3149</v>
      </c>
      <c r="B26" s="133" t="s">
        <v>3277</v>
      </c>
      <c r="C26" s="133" t="s">
        <v>3278</v>
      </c>
      <c r="D26" s="124" t="s">
        <v>3152</v>
      </c>
      <c r="E26" s="124" t="s">
        <v>3152</v>
      </c>
      <c r="F26" s="124" t="s">
        <v>3152</v>
      </c>
      <c r="G26" s="124" t="s">
        <v>622</v>
      </c>
      <c r="H26" s="124" t="s">
        <v>3152</v>
      </c>
      <c r="I26" s="129" t="s">
        <v>560</v>
      </c>
      <c r="J26" s="129" t="s">
        <v>3244</v>
      </c>
      <c r="K26" s="129" t="s">
        <v>3245</v>
      </c>
      <c r="L26" s="124">
        <v>4</v>
      </c>
      <c r="M26" s="124">
        <v>17</v>
      </c>
      <c r="N26" s="124">
        <v>12909238</v>
      </c>
      <c r="O26" s="124">
        <v>17</v>
      </c>
      <c r="P26" s="124">
        <v>5211989</v>
      </c>
      <c r="Q26" s="124" t="s">
        <v>3279</v>
      </c>
      <c r="R26" s="124" t="s">
        <v>3280</v>
      </c>
      <c r="S26" s="124" t="s">
        <v>622</v>
      </c>
      <c r="T26" s="124" t="s">
        <v>620</v>
      </c>
      <c r="U26" s="124" t="s">
        <v>3157</v>
      </c>
      <c r="V26" s="124" t="s">
        <v>3165</v>
      </c>
      <c r="W26" s="124" t="s">
        <v>3281</v>
      </c>
      <c r="X26" s="124" t="s">
        <v>3282</v>
      </c>
      <c r="Y26" s="124">
        <v>0.36435000000000001</v>
      </c>
      <c r="Z26" s="124">
        <v>60528</v>
      </c>
      <c r="AA26" s="124">
        <v>9135</v>
      </c>
    </row>
    <row r="27" spans="1:27" x14ac:dyDescent="0.25">
      <c r="A27" s="124" t="s">
        <v>3283</v>
      </c>
      <c r="B27" s="133" t="s">
        <v>729</v>
      </c>
      <c r="C27" s="133" t="s">
        <v>3284</v>
      </c>
      <c r="D27" s="124" t="s">
        <v>3152</v>
      </c>
      <c r="E27" s="124" t="s">
        <v>3152</v>
      </c>
      <c r="F27" s="124" t="s">
        <v>3152</v>
      </c>
      <c r="G27" s="124" t="s">
        <v>3152</v>
      </c>
      <c r="H27" s="124" t="s">
        <v>622</v>
      </c>
      <c r="I27" s="129" t="s">
        <v>3252</v>
      </c>
      <c r="J27" s="129" t="s">
        <v>3253</v>
      </c>
      <c r="K27" s="129" t="s">
        <v>3245</v>
      </c>
      <c r="L27" s="124">
        <v>4</v>
      </c>
      <c r="M27" s="124">
        <v>17</v>
      </c>
      <c r="N27" s="124">
        <v>37883801</v>
      </c>
      <c r="O27" s="124">
        <v>17</v>
      </c>
      <c r="P27" s="124">
        <v>37791860</v>
      </c>
      <c r="Q27" s="124" t="s">
        <v>3285</v>
      </c>
      <c r="R27" s="124" t="s">
        <v>3286</v>
      </c>
      <c r="S27" s="124" t="s">
        <v>620</v>
      </c>
      <c r="T27" s="124" t="s">
        <v>620</v>
      </c>
      <c r="U27" s="124" t="s">
        <v>3157</v>
      </c>
      <c r="V27" s="124" t="s">
        <v>3195</v>
      </c>
      <c r="W27" s="124" t="s">
        <v>3287</v>
      </c>
      <c r="X27" s="124" t="s">
        <v>3288</v>
      </c>
      <c r="Y27" s="124">
        <v>0.38486999999999999</v>
      </c>
      <c r="Z27" s="124">
        <v>2064</v>
      </c>
      <c r="AA27" s="124">
        <v>84152</v>
      </c>
    </row>
    <row r="28" spans="1:27" x14ac:dyDescent="0.25">
      <c r="A28" s="124" t="s">
        <v>3289</v>
      </c>
      <c r="B28" s="133" t="s">
        <v>3273</v>
      </c>
      <c r="C28" s="133" t="s">
        <v>3290</v>
      </c>
      <c r="D28" s="124" t="s">
        <v>3152</v>
      </c>
      <c r="E28" s="124" t="s">
        <v>622</v>
      </c>
      <c r="F28" s="124" t="s">
        <v>622</v>
      </c>
      <c r="G28" s="124" t="s">
        <v>622</v>
      </c>
      <c r="H28" s="124" t="s">
        <v>3152</v>
      </c>
      <c r="I28" s="129" t="s">
        <v>3252</v>
      </c>
      <c r="J28" s="129" t="s">
        <v>3253</v>
      </c>
      <c r="K28" s="129" t="s">
        <v>3245</v>
      </c>
      <c r="L28" s="124">
        <v>2</v>
      </c>
      <c r="M28" s="124">
        <v>6</v>
      </c>
      <c r="N28" s="124">
        <v>65012810</v>
      </c>
      <c r="O28" s="124">
        <v>11</v>
      </c>
      <c r="P28" s="124">
        <v>78128691</v>
      </c>
      <c r="Q28" s="124" t="s">
        <v>3291</v>
      </c>
      <c r="R28" s="124" t="s">
        <v>3292</v>
      </c>
      <c r="S28" s="124" t="s">
        <v>622</v>
      </c>
      <c r="T28" s="124" t="s">
        <v>620</v>
      </c>
      <c r="U28" s="124" t="s">
        <v>3157</v>
      </c>
      <c r="V28" s="124" t="s">
        <v>3293</v>
      </c>
      <c r="W28" s="124" t="s">
        <v>3294</v>
      </c>
      <c r="X28" s="124" t="s">
        <v>3295</v>
      </c>
      <c r="Y28" s="124">
        <v>0.37879000000000002</v>
      </c>
      <c r="Z28" s="124">
        <v>346007</v>
      </c>
      <c r="AA28" s="124">
        <v>9846</v>
      </c>
    </row>
    <row r="29" spans="1:27" x14ac:dyDescent="0.25">
      <c r="A29" s="124" t="s">
        <v>3299</v>
      </c>
      <c r="B29" s="133" t="s">
        <v>3300</v>
      </c>
      <c r="C29" s="133" t="s">
        <v>3301</v>
      </c>
      <c r="D29" s="124" t="s">
        <v>622</v>
      </c>
      <c r="E29" s="124" t="s">
        <v>622</v>
      </c>
      <c r="F29" s="124" t="s">
        <v>622</v>
      </c>
      <c r="G29" s="124" t="s">
        <v>3152</v>
      </c>
      <c r="H29" s="124" t="s">
        <v>3152</v>
      </c>
      <c r="I29" s="129" t="s">
        <v>3252</v>
      </c>
      <c r="J29" s="129" t="s">
        <v>3253</v>
      </c>
      <c r="K29" s="129" t="s">
        <v>3245</v>
      </c>
      <c r="L29" s="124">
        <v>2</v>
      </c>
      <c r="M29" s="124">
        <v>5</v>
      </c>
      <c r="N29" s="124">
        <v>55290612</v>
      </c>
      <c r="O29" s="124">
        <v>8</v>
      </c>
      <c r="P29" s="124">
        <v>102213972</v>
      </c>
      <c r="Q29" s="124" t="s">
        <v>3302</v>
      </c>
      <c r="R29" s="124" t="s">
        <v>3303</v>
      </c>
      <c r="S29" s="124" t="s">
        <v>622</v>
      </c>
      <c r="T29" s="124" t="s">
        <v>622</v>
      </c>
      <c r="U29" s="124" t="s">
        <v>3157</v>
      </c>
      <c r="V29" s="124" t="s">
        <v>3304</v>
      </c>
      <c r="W29" s="124" t="s">
        <v>3305</v>
      </c>
      <c r="X29" s="124" t="s">
        <v>3306</v>
      </c>
      <c r="Y29" s="124">
        <v>0.38052999999999998</v>
      </c>
      <c r="Z29" s="124">
        <v>3572</v>
      </c>
      <c r="AA29" s="124">
        <v>51123</v>
      </c>
    </row>
    <row r="30" spans="1:27" x14ac:dyDescent="0.25">
      <c r="A30" s="124" t="s">
        <v>3271</v>
      </c>
      <c r="B30" s="133" t="s">
        <v>3307</v>
      </c>
      <c r="C30" s="133" t="s">
        <v>3308</v>
      </c>
      <c r="D30" s="124" t="s">
        <v>3152</v>
      </c>
      <c r="E30" s="124" t="s">
        <v>3152</v>
      </c>
      <c r="F30" s="124" t="s">
        <v>3152</v>
      </c>
      <c r="G30" s="124" t="s">
        <v>622</v>
      </c>
      <c r="H30" s="124" t="s">
        <v>622</v>
      </c>
      <c r="I30" s="129" t="s">
        <v>3252</v>
      </c>
      <c r="J30" s="129" t="s">
        <v>3253</v>
      </c>
      <c r="K30" s="129" t="s">
        <v>3245</v>
      </c>
      <c r="L30" s="124">
        <v>3</v>
      </c>
      <c r="M30" s="124">
        <v>2</v>
      </c>
      <c r="N30" s="124">
        <v>187466879</v>
      </c>
      <c r="O30" s="124">
        <v>2</v>
      </c>
      <c r="P30" s="124">
        <v>27708371</v>
      </c>
      <c r="Q30" s="124" t="s">
        <v>3309</v>
      </c>
      <c r="R30" s="124" t="s">
        <v>3310</v>
      </c>
      <c r="S30" s="124" t="s">
        <v>620</v>
      </c>
      <c r="T30" s="124" t="s">
        <v>622</v>
      </c>
      <c r="U30" s="124" t="s">
        <v>3157</v>
      </c>
      <c r="V30" s="124" t="s">
        <v>3195</v>
      </c>
      <c r="W30" s="124" t="s">
        <v>3311</v>
      </c>
      <c r="X30" s="124" t="s">
        <v>3312</v>
      </c>
      <c r="Y30" s="124">
        <v>0.37636999999999998</v>
      </c>
      <c r="Z30" s="124">
        <v>3685</v>
      </c>
      <c r="AA30" s="124">
        <v>26160</v>
      </c>
    </row>
    <row r="31" spans="1:27" x14ac:dyDescent="0.25">
      <c r="A31" s="124" t="s">
        <v>3313</v>
      </c>
      <c r="B31" s="133" t="s">
        <v>3314</v>
      </c>
      <c r="C31" s="133" t="s">
        <v>3315</v>
      </c>
      <c r="D31" s="124" t="s">
        <v>622</v>
      </c>
      <c r="E31" s="124" t="s">
        <v>622</v>
      </c>
      <c r="F31" s="124" t="s">
        <v>622</v>
      </c>
      <c r="G31" s="124" t="s">
        <v>3152</v>
      </c>
      <c r="H31" s="124" t="s">
        <v>3152</v>
      </c>
      <c r="I31" s="129" t="s">
        <v>560</v>
      </c>
      <c r="J31" s="129" t="s">
        <v>3316</v>
      </c>
      <c r="K31" s="129" t="s">
        <v>3245</v>
      </c>
      <c r="L31" s="124">
        <v>2</v>
      </c>
      <c r="M31" s="124">
        <v>14</v>
      </c>
      <c r="N31" s="124">
        <v>50758423</v>
      </c>
      <c r="O31" s="124">
        <v>14</v>
      </c>
      <c r="P31" s="124">
        <v>51254267</v>
      </c>
      <c r="Q31" s="124" t="s">
        <v>3317</v>
      </c>
      <c r="R31" s="124" t="s">
        <v>3318</v>
      </c>
      <c r="S31" s="124" t="s">
        <v>622</v>
      </c>
      <c r="T31" s="124" t="s">
        <v>622</v>
      </c>
      <c r="U31" s="124" t="s">
        <v>3157</v>
      </c>
      <c r="V31" s="124" t="s">
        <v>3165</v>
      </c>
      <c r="W31" s="124" t="s">
        <v>3319</v>
      </c>
      <c r="X31" s="124" t="s">
        <v>3320</v>
      </c>
      <c r="Y31" s="124">
        <v>0.37129000000000001</v>
      </c>
      <c r="Z31" s="124">
        <v>79944</v>
      </c>
      <c r="AA31" s="124">
        <v>51199</v>
      </c>
    </row>
    <row r="32" spans="1:27" x14ac:dyDescent="0.25">
      <c r="A32" s="124" t="s">
        <v>3321</v>
      </c>
      <c r="B32" s="133" t="s">
        <v>3322</v>
      </c>
      <c r="C32" s="133" t="s">
        <v>3323</v>
      </c>
      <c r="D32" s="124" t="s">
        <v>3152</v>
      </c>
      <c r="E32" s="124" t="s">
        <v>3152</v>
      </c>
      <c r="F32" s="124" t="s">
        <v>3152</v>
      </c>
      <c r="G32" s="124" t="s">
        <v>3152</v>
      </c>
      <c r="H32" s="124" t="s">
        <v>3152</v>
      </c>
      <c r="I32" s="129" t="s">
        <v>3252</v>
      </c>
      <c r="J32" s="129" t="s">
        <v>3253</v>
      </c>
      <c r="K32" s="129" t="s">
        <v>3245</v>
      </c>
      <c r="L32" s="124">
        <v>5</v>
      </c>
      <c r="M32" s="124">
        <v>12</v>
      </c>
      <c r="N32" s="124">
        <v>112308985</v>
      </c>
      <c r="O32" s="124">
        <v>12</v>
      </c>
      <c r="P32" s="124">
        <v>112182447</v>
      </c>
      <c r="Q32" s="124" t="s">
        <v>3324</v>
      </c>
      <c r="R32" s="124" t="s">
        <v>3325</v>
      </c>
      <c r="S32" s="124" t="s">
        <v>620</v>
      </c>
      <c r="T32" s="124" t="s">
        <v>620</v>
      </c>
      <c r="U32" s="124" t="s">
        <v>3157</v>
      </c>
      <c r="V32" s="124" t="s">
        <v>3195</v>
      </c>
      <c r="W32" s="124" t="s">
        <v>3326</v>
      </c>
      <c r="X32" s="124" t="s">
        <v>3327</v>
      </c>
      <c r="Y32" s="124">
        <v>0.38052000000000002</v>
      </c>
      <c r="Z32" s="124">
        <v>8550</v>
      </c>
      <c r="AA32" s="124">
        <v>80724</v>
      </c>
    </row>
    <row r="33" spans="1:27" x14ac:dyDescent="0.25">
      <c r="A33" s="124" t="s">
        <v>3313</v>
      </c>
      <c r="B33" s="133" t="s">
        <v>3315</v>
      </c>
      <c r="C33" s="133" t="s">
        <v>3314</v>
      </c>
      <c r="D33" s="124" t="s">
        <v>3152</v>
      </c>
      <c r="E33" s="124" t="s">
        <v>622</v>
      </c>
      <c r="F33" s="124" t="s">
        <v>622</v>
      </c>
      <c r="G33" s="124" t="s">
        <v>622</v>
      </c>
      <c r="H33" s="124" t="s">
        <v>3152</v>
      </c>
      <c r="I33" s="129" t="s">
        <v>3252</v>
      </c>
      <c r="J33" s="129" t="s">
        <v>3253</v>
      </c>
      <c r="K33" s="129" t="s">
        <v>3245</v>
      </c>
      <c r="L33" s="124">
        <v>2</v>
      </c>
      <c r="M33" s="124">
        <v>14</v>
      </c>
      <c r="N33" s="124">
        <v>51273455</v>
      </c>
      <c r="O33" s="124">
        <v>14</v>
      </c>
      <c r="P33" s="124">
        <v>50729256</v>
      </c>
      <c r="Q33" s="124" t="s">
        <v>3318</v>
      </c>
      <c r="R33" s="124" t="s">
        <v>3317</v>
      </c>
      <c r="S33" s="124" t="s">
        <v>622</v>
      </c>
      <c r="T33" s="124" t="s">
        <v>622</v>
      </c>
      <c r="U33" s="124" t="s">
        <v>3157</v>
      </c>
      <c r="V33" s="124" t="s">
        <v>3195</v>
      </c>
      <c r="W33" s="124" t="s">
        <v>3328</v>
      </c>
      <c r="X33" s="124" t="s">
        <v>3329</v>
      </c>
      <c r="Y33" s="124">
        <v>0.37129000000000001</v>
      </c>
      <c r="Z33" s="124">
        <v>51199</v>
      </c>
      <c r="AA33" s="124">
        <v>79944</v>
      </c>
    </row>
    <row r="34" spans="1:27" x14ac:dyDescent="0.25">
      <c r="A34" s="124" t="s">
        <v>3330</v>
      </c>
      <c r="B34" s="133" t="s">
        <v>3331</v>
      </c>
      <c r="C34" s="133" t="s">
        <v>3332</v>
      </c>
      <c r="D34" s="124" t="s">
        <v>3152</v>
      </c>
      <c r="E34" s="124" t="s">
        <v>622</v>
      </c>
      <c r="F34" s="124" t="s">
        <v>622</v>
      </c>
      <c r="G34" s="124" t="s">
        <v>622</v>
      </c>
      <c r="H34" s="124" t="s">
        <v>3152</v>
      </c>
      <c r="I34" s="129" t="s">
        <v>560</v>
      </c>
      <c r="J34" s="129" t="s">
        <v>3333</v>
      </c>
      <c r="K34" s="129" t="s">
        <v>3245</v>
      </c>
      <c r="L34" s="124">
        <v>2</v>
      </c>
      <c r="M34" s="124">
        <v>1</v>
      </c>
      <c r="N34" s="124">
        <v>115258670</v>
      </c>
      <c r="O34" s="124">
        <v>21</v>
      </c>
      <c r="P34" s="124">
        <v>37834074</v>
      </c>
      <c r="Q34" s="124" t="s">
        <v>3334</v>
      </c>
      <c r="R34" s="124" t="s">
        <v>3335</v>
      </c>
      <c r="S34" s="124" t="s">
        <v>622</v>
      </c>
      <c r="T34" s="124" t="s">
        <v>622</v>
      </c>
      <c r="U34" s="124" t="s">
        <v>3157</v>
      </c>
      <c r="V34" s="124" t="s">
        <v>3158</v>
      </c>
      <c r="W34" s="124" t="s">
        <v>3336</v>
      </c>
      <c r="X34" s="124" t="s">
        <v>3337</v>
      </c>
      <c r="Y34" s="124">
        <v>0.37755</v>
      </c>
      <c r="Z34" s="124">
        <v>4893</v>
      </c>
      <c r="AA34" s="124">
        <v>23562</v>
      </c>
    </row>
    <row r="35" spans="1:27" x14ac:dyDescent="0.25">
      <c r="A35" s="124" t="s">
        <v>3338</v>
      </c>
      <c r="B35" s="133" t="s">
        <v>3339</v>
      </c>
      <c r="C35" s="133" t="s">
        <v>3340</v>
      </c>
      <c r="D35" s="124" t="s">
        <v>622</v>
      </c>
      <c r="E35" s="124" t="s">
        <v>3152</v>
      </c>
      <c r="F35" s="124" t="s">
        <v>622</v>
      </c>
      <c r="G35" s="124" t="s">
        <v>622</v>
      </c>
      <c r="H35" s="124" t="s">
        <v>3152</v>
      </c>
      <c r="I35" s="129" t="s">
        <v>3252</v>
      </c>
      <c r="J35" s="129" t="s">
        <v>3253</v>
      </c>
      <c r="K35" s="129" t="s">
        <v>3245</v>
      </c>
      <c r="L35" s="124">
        <v>2</v>
      </c>
      <c r="M35" s="124">
        <v>2</v>
      </c>
      <c r="N35" s="124">
        <v>174987908</v>
      </c>
      <c r="O35" s="124">
        <v>2</v>
      </c>
      <c r="P35" s="124">
        <v>231663444</v>
      </c>
      <c r="Q35" s="124" t="s">
        <v>3341</v>
      </c>
      <c r="R35" s="124" t="s">
        <v>3342</v>
      </c>
      <c r="S35" s="124" t="s">
        <v>622</v>
      </c>
      <c r="T35" s="124" t="s">
        <v>620</v>
      </c>
      <c r="U35" s="124" t="s">
        <v>3157</v>
      </c>
      <c r="V35" s="124" t="s">
        <v>3195</v>
      </c>
      <c r="W35" s="124" t="s">
        <v>3343</v>
      </c>
      <c r="X35" s="124" t="s">
        <v>3344</v>
      </c>
      <c r="Y35" s="124">
        <v>0.36487000000000003</v>
      </c>
      <c r="Z35" s="124">
        <v>29789</v>
      </c>
      <c r="AA35" s="124">
        <v>51719</v>
      </c>
    </row>
    <row r="36" spans="1:27" x14ac:dyDescent="0.25">
      <c r="A36" s="124" t="s">
        <v>3271</v>
      </c>
      <c r="B36" s="133" t="s">
        <v>3345</v>
      </c>
      <c r="C36" s="133" t="s">
        <v>3346</v>
      </c>
      <c r="D36" s="124" t="s">
        <v>3152</v>
      </c>
      <c r="E36" s="124" t="s">
        <v>3152</v>
      </c>
      <c r="F36" s="124" t="s">
        <v>622</v>
      </c>
      <c r="G36" s="124" t="s">
        <v>622</v>
      </c>
      <c r="H36" s="124" t="s">
        <v>622</v>
      </c>
      <c r="I36" s="129" t="s">
        <v>560</v>
      </c>
      <c r="J36" s="129" t="s">
        <v>3244</v>
      </c>
      <c r="K36" s="129" t="s">
        <v>3245</v>
      </c>
      <c r="L36" s="124">
        <v>2</v>
      </c>
      <c r="M36" s="124">
        <v>19</v>
      </c>
      <c r="N36" s="124">
        <v>33953901</v>
      </c>
      <c r="O36" s="124">
        <v>19</v>
      </c>
      <c r="P36" s="124">
        <v>22157610</v>
      </c>
      <c r="Q36" s="124" t="s">
        <v>3347</v>
      </c>
      <c r="R36" s="124" t="s">
        <v>3348</v>
      </c>
      <c r="S36" s="124" t="s">
        <v>622</v>
      </c>
      <c r="T36" s="124" t="s">
        <v>622</v>
      </c>
      <c r="U36" s="124" t="s">
        <v>3157</v>
      </c>
      <c r="V36" s="124" t="s">
        <v>3165</v>
      </c>
      <c r="W36" s="124" t="s">
        <v>3349</v>
      </c>
      <c r="X36" s="124" t="s">
        <v>3350</v>
      </c>
      <c r="Y36" s="124">
        <v>0.36436000000000002</v>
      </c>
      <c r="Z36" s="124">
        <v>5184</v>
      </c>
      <c r="AA36" s="124">
        <v>7757</v>
      </c>
    </row>
    <row r="37" spans="1:27" x14ac:dyDescent="0.25">
      <c r="A37" s="124" t="s">
        <v>3149</v>
      </c>
      <c r="B37" s="133" t="s">
        <v>3351</v>
      </c>
      <c r="C37" s="133" t="s">
        <v>3352</v>
      </c>
      <c r="D37" s="124" t="s">
        <v>3152</v>
      </c>
      <c r="E37" s="124" t="s">
        <v>622</v>
      </c>
      <c r="F37" s="124" t="s">
        <v>622</v>
      </c>
      <c r="G37" s="124" t="s">
        <v>622</v>
      </c>
      <c r="H37" s="124" t="s">
        <v>3152</v>
      </c>
      <c r="I37" s="129" t="s">
        <v>560</v>
      </c>
      <c r="J37" s="129" t="s">
        <v>3244</v>
      </c>
      <c r="K37" s="129" t="s">
        <v>3245</v>
      </c>
      <c r="L37" s="124">
        <v>2</v>
      </c>
      <c r="M37" s="124">
        <v>17</v>
      </c>
      <c r="N37" s="124">
        <v>6371545</v>
      </c>
      <c r="O37" s="124">
        <v>17</v>
      </c>
      <c r="P37" s="124">
        <v>3595089</v>
      </c>
      <c r="Q37" s="124" t="s">
        <v>3353</v>
      </c>
      <c r="R37" s="124" t="s">
        <v>3354</v>
      </c>
      <c r="S37" s="124" t="s">
        <v>622</v>
      </c>
      <c r="T37" s="124" t="s">
        <v>622</v>
      </c>
      <c r="U37" s="124" t="s">
        <v>3157</v>
      </c>
      <c r="V37" s="124" t="s">
        <v>3165</v>
      </c>
      <c r="W37" s="124" t="s">
        <v>3355</v>
      </c>
      <c r="X37" s="124" t="s">
        <v>3356</v>
      </c>
      <c r="Y37" s="124">
        <v>0.36116999999999999</v>
      </c>
      <c r="Z37" s="124">
        <v>83394</v>
      </c>
      <c r="AA37" s="124">
        <v>5026</v>
      </c>
    </row>
    <row r="38" spans="1:27" x14ac:dyDescent="0.25">
      <c r="A38" s="124" t="s">
        <v>3357</v>
      </c>
      <c r="B38" s="133" t="s">
        <v>3358</v>
      </c>
      <c r="C38" s="133" t="s">
        <v>3359</v>
      </c>
      <c r="D38" s="124" t="s">
        <v>622</v>
      </c>
      <c r="E38" s="124" t="s">
        <v>622</v>
      </c>
      <c r="F38" s="124" t="s">
        <v>622</v>
      </c>
      <c r="G38" s="124" t="s">
        <v>3152</v>
      </c>
      <c r="H38" s="124" t="s">
        <v>3152</v>
      </c>
      <c r="I38" s="129" t="s">
        <v>3252</v>
      </c>
      <c r="J38" s="129" t="s">
        <v>3253</v>
      </c>
      <c r="K38" s="129" t="s">
        <v>3245</v>
      </c>
      <c r="L38" s="124">
        <v>2</v>
      </c>
      <c r="M38" s="124">
        <v>1</v>
      </c>
      <c r="N38" s="124">
        <v>44044849</v>
      </c>
      <c r="O38" s="124">
        <v>7</v>
      </c>
      <c r="P38" s="124">
        <v>1468426</v>
      </c>
      <c r="Q38" s="124" t="s">
        <v>3360</v>
      </c>
      <c r="R38" s="124" t="s">
        <v>3361</v>
      </c>
      <c r="S38" s="124" t="s">
        <v>620</v>
      </c>
      <c r="T38" s="124" t="s">
        <v>622</v>
      </c>
      <c r="U38" s="124" t="s">
        <v>3157</v>
      </c>
      <c r="V38" s="124" t="s">
        <v>3293</v>
      </c>
      <c r="W38" s="124" t="s">
        <v>3248</v>
      </c>
      <c r="X38" s="124" t="s">
        <v>3362</v>
      </c>
      <c r="Y38" s="124">
        <v>0.38003999999999999</v>
      </c>
      <c r="Z38" s="124">
        <v>5792</v>
      </c>
      <c r="AA38" s="124">
        <v>79778</v>
      </c>
    </row>
    <row r="39" spans="1:27" x14ac:dyDescent="0.25">
      <c r="A39" s="124" t="s">
        <v>3185</v>
      </c>
      <c r="B39" s="133" t="s">
        <v>3363</v>
      </c>
      <c r="C39" s="133" t="s">
        <v>3364</v>
      </c>
      <c r="D39" s="124" t="s">
        <v>3152</v>
      </c>
      <c r="E39" s="124" t="s">
        <v>622</v>
      </c>
      <c r="F39" s="124" t="s">
        <v>3152</v>
      </c>
      <c r="G39" s="124" t="s">
        <v>622</v>
      </c>
      <c r="H39" s="124" t="s">
        <v>622</v>
      </c>
      <c r="I39" s="129" t="s">
        <v>3252</v>
      </c>
      <c r="J39" s="129" t="s">
        <v>3253</v>
      </c>
      <c r="K39" s="129" t="s">
        <v>3245</v>
      </c>
      <c r="L39" s="124">
        <v>2</v>
      </c>
      <c r="M39" s="124">
        <v>12</v>
      </c>
      <c r="N39" s="124">
        <v>125348141</v>
      </c>
      <c r="O39" s="124">
        <v>12</v>
      </c>
      <c r="P39" s="124">
        <v>125398321</v>
      </c>
      <c r="Q39" s="124" t="s">
        <v>3365</v>
      </c>
      <c r="R39" s="124" t="s">
        <v>3366</v>
      </c>
      <c r="S39" s="124" t="s">
        <v>622</v>
      </c>
      <c r="T39" s="124" t="s">
        <v>622</v>
      </c>
      <c r="U39" s="124" t="s">
        <v>3157</v>
      </c>
      <c r="V39" s="124" t="s">
        <v>3158</v>
      </c>
      <c r="W39" s="124" t="s">
        <v>3367</v>
      </c>
      <c r="X39" s="124" t="s">
        <v>3368</v>
      </c>
      <c r="Y39" s="124">
        <v>0.38083</v>
      </c>
      <c r="Z39" s="124">
        <v>949</v>
      </c>
      <c r="AA39" s="124">
        <v>7316</v>
      </c>
    </row>
    <row r="40" spans="1:27" x14ac:dyDescent="0.25">
      <c r="A40" s="124" t="s">
        <v>3224</v>
      </c>
      <c r="B40" s="133" t="s">
        <v>3369</v>
      </c>
      <c r="C40" s="133" t="s">
        <v>3370</v>
      </c>
      <c r="D40" s="124" t="s">
        <v>622</v>
      </c>
      <c r="E40" s="124" t="s">
        <v>3152</v>
      </c>
      <c r="F40" s="124" t="s">
        <v>3152</v>
      </c>
      <c r="G40" s="124" t="s">
        <v>622</v>
      </c>
      <c r="H40" s="124" t="s">
        <v>622</v>
      </c>
      <c r="I40" s="129" t="s">
        <v>3252</v>
      </c>
      <c r="J40" s="129" t="s">
        <v>3253</v>
      </c>
      <c r="K40" s="129" t="s">
        <v>3245</v>
      </c>
      <c r="L40" s="124">
        <v>2</v>
      </c>
      <c r="M40" s="124">
        <v>11</v>
      </c>
      <c r="N40" s="124">
        <v>70505933</v>
      </c>
      <c r="O40" s="124">
        <v>11</v>
      </c>
      <c r="P40" s="124">
        <v>74705554</v>
      </c>
      <c r="Q40" s="124" t="s">
        <v>3371</v>
      </c>
      <c r="R40" s="124" t="s">
        <v>3372</v>
      </c>
      <c r="S40" s="124" t="s">
        <v>622</v>
      </c>
      <c r="T40" s="124" t="s">
        <v>620</v>
      </c>
      <c r="U40" s="124" t="s">
        <v>3157</v>
      </c>
      <c r="V40" s="124" t="s">
        <v>3165</v>
      </c>
      <c r="W40" s="124" t="s">
        <v>3373</v>
      </c>
      <c r="X40" s="124" t="s">
        <v>3374</v>
      </c>
      <c r="Y40" s="124">
        <v>0.36947000000000002</v>
      </c>
      <c r="Z40" s="124">
        <v>22941</v>
      </c>
      <c r="AA40" s="124">
        <v>10825</v>
      </c>
    </row>
    <row r="41" spans="1:27" x14ac:dyDescent="0.25">
      <c r="A41" s="124" t="s">
        <v>3224</v>
      </c>
      <c r="B41" s="133" t="s">
        <v>3369</v>
      </c>
      <c r="C41" s="133" t="s">
        <v>3375</v>
      </c>
      <c r="D41" s="124" t="s">
        <v>622</v>
      </c>
      <c r="E41" s="124" t="s">
        <v>622</v>
      </c>
      <c r="F41" s="124" t="s">
        <v>3152</v>
      </c>
      <c r="G41" s="124" t="s">
        <v>3152</v>
      </c>
      <c r="H41" s="124" t="s">
        <v>3152</v>
      </c>
      <c r="I41" s="129" t="s">
        <v>3252</v>
      </c>
      <c r="J41" s="129" t="s">
        <v>3253</v>
      </c>
      <c r="K41" s="129" t="s">
        <v>3245</v>
      </c>
      <c r="L41" s="124">
        <v>3</v>
      </c>
      <c r="M41" s="124">
        <v>11</v>
      </c>
      <c r="N41" s="124">
        <v>70505933</v>
      </c>
      <c r="O41" s="124">
        <v>11</v>
      </c>
      <c r="P41" s="124">
        <v>74687902</v>
      </c>
      <c r="Q41" s="124" t="s">
        <v>3371</v>
      </c>
      <c r="R41" s="124" t="s">
        <v>3376</v>
      </c>
      <c r="S41" s="124" t="s">
        <v>622</v>
      </c>
      <c r="T41" s="124" t="s">
        <v>620</v>
      </c>
      <c r="U41" s="124" t="s">
        <v>3157</v>
      </c>
      <c r="V41" s="124" t="s">
        <v>3195</v>
      </c>
      <c r="W41" s="124" t="s">
        <v>3377</v>
      </c>
      <c r="X41" s="124" t="s">
        <v>3378</v>
      </c>
      <c r="Y41" s="124">
        <v>0.36724000000000001</v>
      </c>
      <c r="Z41" s="124">
        <v>22941</v>
      </c>
      <c r="AA41" s="124">
        <v>9789</v>
      </c>
    </row>
    <row r="42" spans="1:27" x14ac:dyDescent="0.25">
      <c r="A42" s="124" t="s">
        <v>3379</v>
      </c>
      <c r="B42" s="133" t="s">
        <v>3380</v>
      </c>
      <c r="C42" s="133" t="s">
        <v>1198</v>
      </c>
      <c r="D42" s="124" t="s">
        <v>3152</v>
      </c>
      <c r="E42" s="124" t="s">
        <v>3152</v>
      </c>
      <c r="F42" s="124" t="s">
        <v>3152</v>
      </c>
      <c r="G42" s="124" t="s">
        <v>3152</v>
      </c>
      <c r="H42" s="124" t="s">
        <v>622</v>
      </c>
      <c r="I42" s="129" t="s">
        <v>3252</v>
      </c>
      <c r="J42" s="129" t="s">
        <v>3253</v>
      </c>
      <c r="K42" s="129" t="s">
        <v>3245</v>
      </c>
      <c r="L42" s="124">
        <v>4</v>
      </c>
      <c r="M42" s="124">
        <v>23</v>
      </c>
      <c r="N42" s="124">
        <v>50438786</v>
      </c>
      <c r="O42" s="124">
        <v>23</v>
      </c>
      <c r="P42" s="124">
        <v>66905852</v>
      </c>
      <c r="Q42" s="124" t="s">
        <v>3381</v>
      </c>
      <c r="R42" s="124" t="s">
        <v>3382</v>
      </c>
      <c r="S42" s="124" t="s">
        <v>622</v>
      </c>
      <c r="T42" s="124" t="s">
        <v>620</v>
      </c>
      <c r="U42" s="124" t="s">
        <v>3157</v>
      </c>
      <c r="V42" s="124" t="s">
        <v>3195</v>
      </c>
      <c r="W42" s="124" t="s">
        <v>3383</v>
      </c>
      <c r="X42" s="124" t="s">
        <v>3384</v>
      </c>
      <c r="Y42" s="124">
        <v>0.37985000000000002</v>
      </c>
      <c r="Z42" s="124">
        <v>57477</v>
      </c>
      <c r="AA42" s="124">
        <v>367</v>
      </c>
    </row>
    <row r="43" spans="1:27" x14ac:dyDescent="0.25">
      <c r="A43" s="124" t="s">
        <v>3385</v>
      </c>
      <c r="B43" s="133" t="s">
        <v>3386</v>
      </c>
      <c r="C43" s="133" t="s">
        <v>3387</v>
      </c>
      <c r="D43" s="124" t="s">
        <v>3152</v>
      </c>
      <c r="E43" s="124" t="s">
        <v>622</v>
      </c>
      <c r="F43" s="124" t="s">
        <v>622</v>
      </c>
      <c r="G43" s="124" t="s">
        <v>622</v>
      </c>
      <c r="H43" s="124" t="s">
        <v>3152</v>
      </c>
      <c r="I43" s="129" t="s">
        <v>3252</v>
      </c>
      <c r="J43" s="129" t="s">
        <v>3253</v>
      </c>
      <c r="K43" s="129" t="s">
        <v>3245</v>
      </c>
      <c r="L43" s="124">
        <v>2</v>
      </c>
      <c r="M43" s="124">
        <v>11</v>
      </c>
      <c r="N43" s="124">
        <v>66466112</v>
      </c>
      <c r="O43" s="124">
        <v>3</v>
      </c>
      <c r="P43" s="124">
        <v>85647308</v>
      </c>
      <c r="Q43" s="124" t="s">
        <v>3388</v>
      </c>
      <c r="R43" s="124" t="s">
        <v>3389</v>
      </c>
      <c r="S43" s="124" t="s">
        <v>622</v>
      </c>
      <c r="T43" s="124" t="s">
        <v>620</v>
      </c>
      <c r="U43" s="124" t="s">
        <v>3157</v>
      </c>
      <c r="V43" s="124" t="s">
        <v>3195</v>
      </c>
      <c r="W43" s="124" t="s">
        <v>3390</v>
      </c>
      <c r="X43" s="124" t="s">
        <v>3391</v>
      </c>
      <c r="Y43" s="124">
        <v>0.36680000000000001</v>
      </c>
      <c r="Z43" s="124">
        <v>6712</v>
      </c>
      <c r="AA43" s="124">
        <v>253559</v>
      </c>
    </row>
    <row r="44" spans="1:27" x14ac:dyDescent="0.25">
      <c r="A44" s="124" t="s">
        <v>3175</v>
      </c>
      <c r="B44" s="133" t="s">
        <v>3392</v>
      </c>
      <c r="C44" s="133" t="s">
        <v>3393</v>
      </c>
      <c r="D44" s="124" t="s">
        <v>622</v>
      </c>
      <c r="E44" s="124" t="s">
        <v>622</v>
      </c>
      <c r="F44" s="124" t="s">
        <v>622</v>
      </c>
      <c r="G44" s="124" t="s">
        <v>3152</v>
      </c>
      <c r="H44" s="124" t="s">
        <v>3152</v>
      </c>
      <c r="I44" s="129" t="s">
        <v>3252</v>
      </c>
      <c r="J44" s="129" t="s">
        <v>3394</v>
      </c>
      <c r="K44" s="129" t="s">
        <v>3245</v>
      </c>
      <c r="L44" s="124">
        <v>2</v>
      </c>
      <c r="M44" s="124">
        <v>3</v>
      </c>
      <c r="N44" s="124">
        <v>17549968</v>
      </c>
      <c r="O44" s="124">
        <v>3</v>
      </c>
      <c r="P44" s="124">
        <v>76976291</v>
      </c>
      <c r="Q44" s="124" t="s">
        <v>3395</v>
      </c>
      <c r="R44" s="124" t="s">
        <v>3396</v>
      </c>
      <c r="S44" s="124" t="s">
        <v>622</v>
      </c>
      <c r="T44" s="124" t="s">
        <v>620</v>
      </c>
      <c r="U44" s="124" t="s">
        <v>3157</v>
      </c>
      <c r="V44" s="124" t="s">
        <v>3165</v>
      </c>
      <c r="W44" s="124" t="s">
        <v>3397</v>
      </c>
      <c r="X44" s="124" t="s">
        <v>3398</v>
      </c>
      <c r="Y44" s="124">
        <v>0.36547000000000002</v>
      </c>
      <c r="Z44" s="124">
        <v>9779</v>
      </c>
      <c r="AA44" s="124">
        <v>6092</v>
      </c>
    </row>
    <row r="45" spans="1:27" x14ac:dyDescent="0.25">
      <c r="A45" s="124" t="s">
        <v>3224</v>
      </c>
      <c r="B45" s="133" t="s">
        <v>3399</v>
      </c>
      <c r="C45" s="133" t="s">
        <v>3369</v>
      </c>
      <c r="D45" s="124" t="s">
        <v>3152</v>
      </c>
      <c r="E45" s="124" t="s">
        <v>3152</v>
      </c>
      <c r="F45" s="124" t="s">
        <v>3152</v>
      </c>
      <c r="G45" s="124" t="s">
        <v>3152</v>
      </c>
      <c r="H45" s="124" t="s">
        <v>3152</v>
      </c>
      <c r="I45" s="129" t="s">
        <v>3252</v>
      </c>
      <c r="J45" s="129" t="s">
        <v>3253</v>
      </c>
      <c r="K45" s="129" t="s">
        <v>3245</v>
      </c>
      <c r="L45" s="124">
        <v>5</v>
      </c>
      <c r="M45" s="124">
        <v>11</v>
      </c>
      <c r="N45" s="124">
        <v>75623084</v>
      </c>
      <c r="O45" s="124">
        <v>11</v>
      </c>
      <c r="P45" s="124">
        <v>70666788</v>
      </c>
      <c r="Q45" s="124" t="s">
        <v>3400</v>
      </c>
      <c r="R45" s="124" t="s">
        <v>3371</v>
      </c>
      <c r="S45" s="124" t="s">
        <v>620</v>
      </c>
      <c r="T45" s="124" t="s">
        <v>622</v>
      </c>
      <c r="U45" s="124" t="s">
        <v>3157</v>
      </c>
      <c r="V45" s="124" t="s">
        <v>3195</v>
      </c>
      <c r="W45" s="124" t="s">
        <v>3401</v>
      </c>
      <c r="X45" s="124" t="s">
        <v>3402</v>
      </c>
      <c r="Y45" s="124">
        <v>0.36814999999999998</v>
      </c>
      <c r="Z45" s="124">
        <v>7405</v>
      </c>
      <c r="AA45" s="124">
        <v>22941</v>
      </c>
    </row>
    <row r="46" spans="1:27" x14ac:dyDescent="0.25">
      <c r="A46" s="124" t="s">
        <v>3403</v>
      </c>
      <c r="B46" s="133" t="s">
        <v>3404</v>
      </c>
      <c r="C46" s="133" t="s">
        <v>3405</v>
      </c>
      <c r="D46" s="124" t="s">
        <v>3152</v>
      </c>
      <c r="E46" s="124" t="s">
        <v>622</v>
      </c>
      <c r="F46" s="124" t="s">
        <v>622</v>
      </c>
      <c r="G46" s="124" t="s">
        <v>622</v>
      </c>
      <c r="H46" s="124" t="s">
        <v>3152</v>
      </c>
      <c r="I46" s="129" t="s">
        <v>3252</v>
      </c>
      <c r="J46" s="129" t="s">
        <v>3253</v>
      </c>
      <c r="K46" s="129" t="s">
        <v>3245</v>
      </c>
      <c r="L46" s="124">
        <v>2</v>
      </c>
      <c r="M46" s="124">
        <v>3</v>
      </c>
      <c r="N46" s="124">
        <v>11744445</v>
      </c>
      <c r="O46" s="124">
        <v>3</v>
      </c>
      <c r="P46" s="124">
        <v>11300129</v>
      </c>
      <c r="Q46" s="124" t="s">
        <v>3406</v>
      </c>
      <c r="R46" s="124" t="s">
        <v>3407</v>
      </c>
      <c r="S46" s="124" t="s">
        <v>622</v>
      </c>
      <c r="T46" s="124" t="s">
        <v>620</v>
      </c>
      <c r="U46" s="124" t="s">
        <v>3157</v>
      </c>
      <c r="V46" s="124" t="s">
        <v>3158</v>
      </c>
      <c r="W46" s="124" t="s">
        <v>3408</v>
      </c>
      <c r="X46" s="124" t="s">
        <v>3409</v>
      </c>
      <c r="Y46" s="124">
        <v>0.36180000000000001</v>
      </c>
      <c r="Z46" s="124">
        <v>9686</v>
      </c>
      <c r="AA46" s="124">
        <v>3269</v>
      </c>
    </row>
    <row r="47" spans="1:27" x14ac:dyDescent="0.25">
      <c r="A47" s="124" t="s">
        <v>3224</v>
      </c>
      <c r="B47" s="133" t="s">
        <v>3410</v>
      </c>
      <c r="C47" s="133" t="s">
        <v>3225</v>
      </c>
      <c r="D47" s="124" t="s">
        <v>622</v>
      </c>
      <c r="E47" s="124" t="s">
        <v>622</v>
      </c>
      <c r="F47" s="124" t="s">
        <v>622</v>
      </c>
      <c r="G47" s="124" t="s">
        <v>3152</v>
      </c>
      <c r="H47" s="124" t="s">
        <v>3152</v>
      </c>
      <c r="I47" s="129" t="s">
        <v>3252</v>
      </c>
      <c r="J47" s="129" t="s">
        <v>3253</v>
      </c>
      <c r="K47" s="129" t="s">
        <v>3245</v>
      </c>
      <c r="L47" s="124">
        <v>2</v>
      </c>
      <c r="M47" s="124">
        <v>12</v>
      </c>
      <c r="N47" s="124">
        <v>58335626</v>
      </c>
      <c r="O47" s="124">
        <v>12</v>
      </c>
      <c r="P47" s="124">
        <v>64238662</v>
      </c>
      <c r="Q47" s="124" t="s">
        <v>3411</v>
      </c>
      <c r="R47" s="124" t="s">
        <v>3227</v>
      </c>
      <c r="S47" s="124" t="s">
        <v>620</v>
      </c>
      <c r="T47" s="124" t="s">
        <v>620</v>
      </c>
      <c r="U47" s="124" t="s">
        <v>3157</v>
      </c>
      <c r="V47" s="124" t="s">
        <v>3195</v>
      </c>
      <c r="W47" s="124" t="s">
        <v>3412</v>
      </c>
      <c r="X47" s="124" t="s">
        <v>3413</v>
      </c>
      <c r="Y47" s="124">
        <v>0.37772</v>
      </c>
      <c r="Z47" s="124">
        <v>91419</v>
      </c>
      <c r="AA47" s="124">
        <v>57522</v>
      </c>
    </row>
    <row r="48" spans="1:27" x14ac:dyDescent="0.25">
      <c r="A48" s="124" t="s">
        <v>3414</v>
      </c>
      <c r="B48" s="133" t="s">
        <v>3415</v>
      </c>
      <c r="C48" s="133" t="s">
        <v>3416</v>
      </c>
      <c r="D48" s="124" t="s">
        <v>3152</v>
      </c>
      <c r="E48" s="124" t="s">
        <v>3152</v>
      </c>
      <c r="F48" s="124" t="s">
        <v>622</v>
      </c>
      <c r="G48" s="124" t="s">
        <v>622</v>
      </c>
      <c r="H48" s="124" t="s">
        <v>622</v>
      </c>
      <c r="I48" s="129" t="s">
        <v>560</v>
      </c>
      <c r="J48" s="129" t="s">
        <v>3417</v>
      </c>
      <c r="K48" s="129" t="s">
        <v>3245</v>
      </c>
      <c r="L48" s="124">
        <v>2</v>
      </c>
      <c r="M48" s="124">
        <v>6</v>
      </c>
      <c r="N48" s="124">
        <v>28966511</v>
      </c>
      <c r="O48" s="124">
        <v>6</v>
      </c>
      <c r="P48" s="124">
        <v>43237381</v>
      </c>
      <c r="Q48" s="124" t="s">
        <v>3418</v>
      </c>
      <c r="R48" s="124" t="s">
        <v>3419</v>
      </c>
      <c r="S48" s="124" t="s">
        <v>622</v>
      </c>
      <c r="T48" s="124" t="s">
        <v>620</v>
      </c>
      <c r="U48" s="124" t="s">
        <v>3157</v>
      </c>
      <c r="V48" s="124" t="s">
        <v>3165</v>
      </c>
      <c r="W48" s="124" t="s">
        <v>3420</v>
      </c>
      <c r="X48" s="124" t="s">
        <v>3421</v>
      </c>
      <c r="Y48" s="124">
        <v>0.37936999999999999</v>
      </c>
      <c r="Z48" s="124">
        <v>282890</v>
      </c>
      <c r="AA48" s="124">
        <v>84630</v>
      </c>
    </row>
    <row r="49" spans="1:27" x14ac:dyDescent="0.25">
      <c r="A49" s="124" t="s">
        <v>3149</v>
      </c>
      <c r="B49" s="133" t="s">
        <v>3422</v>
      </c>
      <c r="C49" s="133" t="s">
        <v>3423</v>
      </c>
      <c r="D49" s="124" t="s">
        <v>3152</v>
      </c>
      <c r="E49" s="124" t="s">
        <v>622</v>
      </c>
      <c r="F49" s="124" t="s">
        <v>622</v>
      </c>
      <c r="G49" s="124" t="s">
        <v>622</v>
      </c>
      <c r="H49" s="124" t="s">
        <v>3152</v>
      </c>
      <c r="I49" s="129" t="s">
        <v>560</v>
      </c>
      <c r="J49" s="129" t="s">
        <v>3244</v>
      </c>
      <c r="K49" s="129" t="s">
        <v>3245</v>
      </c>
      <c r="L49" s="124">
        <v>2</v>
      </c>
      <c r="M49" s="124">
        <v>17</v>
      </c>
      <c r="N49" s="124">
        <v>1756483</v>
      </c>
      <c r="O49" s="124">
        <v>17</v>
      </c>
      <c r="P49" s="124">
        <v>1633673</v>
      </c>
      <c r="Q49" s="124" t="s">
        <v>3424</v>
      </c>
      <c r="R49" s="124" t="s">
        <v>3425</v>
      </c>
      <c r="S49" s="124" t="s">
        <v>620</v>
      </c>
      <c r="T49" s="124" t="s">
        <v>620</v>
      </c>
      <c r="U49" s="124" t="s">
        <v>3157</v>
      </c>
      <c r="V49" s="124" t="s">
        <v>3165</v>
      </c>
      <c r="W49" s="124" t="s">
        <v>3426</v>
      </c>
      <c r="X49" s="124" t="s">
        <v>3427</v>
      </c>
      <c r="Y49" s="124">
        <v>0.36404999999999998</v>
      </c>
      <c r="Z49" s="124">
        <v>6117</v>
      </c>
      <c r="AA49" s="124">
        <v>124997</v>
      </c>
    </row>
    <row r="50" spans="1:27" x14ac:dyDescent="0.25">
      <c r="A50" s="124" t="s">
        <v>3428</v>
      </c>
      <c r="B50" s="133" t="s">
        <v>3429</v>
      </c>
      <c r="C50" s="133" t="s">
        <v>3430</v>
      </c>
      <c r="D50" s="124" t="s">
        <v>622</v>
      </c>
      <c r="E50" s="124" t="s">
        <v>3152</v>
      </c>
      <c r="F50" s="124" t="s">
        <v>3152</v>
      </c>
      <c r="G50" s="124" t="s">
        <v>3152</v>
      </c>
      <c r="H50" s="124" t="s">
        <v>3152</v>
      </c>
      <c r="I50" s="129" t="s">
        <v>560</v>
      </c>
      <c r="J50" s="129" t="s">
        <v>3431</v>
      </c>
      <c r="K50" s="129" t="s">
        <v>3245</v>
      </c>
      <c r="L50" s="124">
        <v>4</v>
      </c>
      <c r="M50" s="124">
        <v>20</v>
      </c>
      <c r="N50" s="124">
        <v>372224</v>
      </c>
      <c r="O50" s="124">
        <v>20</v>
      </c>
      <c r="P50" s="124">
        <v>19496132</v>
      </c>
      <c r="Q50" s="124" t="s">
        <v>3432</v>
      </c>
      <c r="R50" s="124" t="s">
        <v>3433</v>
      </c>
      <c r="S50" s="124" t="s">
        <v>620</v>
      </c>
      <c r="T50" s="124" t="s">
        <v>620</v>
      </c>
      <c r="U50" s="124" t="s">
        <v>3157</v>
      </c>
      <c r="V50" s="124" t="s">
        <v>3165</v>
      </c>
      <c r="W50" s="124" t="s">
        <v>3434</v>
      </c>
      <c r="X50" s="124" t="s">
        <v>3233</v>
      </c>
      <c r="Y50" s="124">
        <v>0.38258999999999999</v>
      </c>
      <c r="Z50" s="124">
        <v>57761</v>
      </c>
      <c r="AA50" s="124">
        <v>57419</v>
      </c>
    </row>
    <row r="51" spans="1:27" x14ac:dyDescent="0.25">
      <c r="B51" s="104"/>
      <c r="C51" s="104"/>
    </row>
    <row r="52" spans="1:27" x14ac:dyDescent="0.25">
      <c r="B52" s="104"/>
      <c r="C52" s="104"/>
    </row>
    <row r="53" spans="1:27" x14ac:dyDescent="0.25">
      <c r="B53" s="104"/>
      <c r="C53" s="104"/>
    </row>
    <row r="54" spans="1:27" x14ac:dyDescent="0.25">
      <c r="B54" s="104"/>
      <c r="C54" s="104"/>
    </row>
    <row r="55" spans="1:27" x14ac:dyDescent="0.25">
      <c r="B55" s="104"/>
      <c r="C55" s="104"/>
    </row>
    <row r="56" spans="1:27" x14ac:dyDescent="0.25">
      <c r="B56" s="104"/>
      <c r="C56" s="104"/>
    </row>
    <row r="57" spans="1:27" x14ac:dyDescent="0.25">
      <c r="B57" s="104"/>
      <c r="C57" s="104"/>
    </row>
    <row r="58" spans="1:27" x14ac:dyDescent="0.25">
      <c r="B58" s="104"/>
      <c r="C58" s="10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8"/>
  <sheetViews>
    <sheetView workbookViewId="0">
      <selection activeCell="A2" sqref="A2"/>
    </sheetView>
  </sheetViews>
  <sheetFormatPr defaultRowHeight="15" x14ac:dyDescent="0.25"/>
  <cols>
    <col min="1" max="16384" width="9.140625" style="227"/>
  </cols>
  <sheetData>
    <row r="1" spans="1:2" x14ac:dyDescent="0.25">
      <c r="A1" s="104" t="s">
        <v>3762</v>
      </c>
    </row>
    <row r="2" spans="1:2" x14ac:dyDescent="0.25">
      <c r="A2" s="104" t="s">
        <v>3758</v>
      </c>
      <c r="B2" s="104" t="s">
        <v>3691</v>
      </c>
    </row>
    <row r="3" spans="1:2" x14ac:dyDescent="0.25">
      <c r="A3" s="124" t="s">
        <v>1150</v>
      </c>
      <c r="B3" s="176">
        <v>79761.336960000001</v>
      </c>
    </row>
    <row r="4" spans="1:2" x14ac:dyDescent="0.25">
      <c r="A4" s="124" t="s">
        <v>1135</v>
      </c>
      <c r="B4" s="203">
        <v>74410.645449999996</v>
      </c>
    </row>
    <row r="5" spans="1:2" x14ac:dyDescent="0.25">
      <c r="A5" s="124" t="s">
        <v>1123</v>
      </c>
      <c r="B5" s="203">
        <v>72397.522490000003</v>
      </c>
    </row>
    <row r="6" spans="1:2" x14ac:dyDescent="0.25">
      <c r="A6" s="124" t="s">
        <v>3571</v>
      </c>
      <c r="B6" s="203">
        <v>67793.380309999993</v>
      </c>
    </row>
    <row r="7" spans="1:2" x14ac:dyDescent="0.25">
      <c r="A7" s="124" t="s">
        <v>3572</v>
      </c>
      <c r="B7" s="203">
        <v>67676.073069999999</v>
      </c>
    </row>
    <row r="8" spans="1:2" x14ac:dyDescent="0.25">
      <c r="A8" s="124" t="s">
        <v>980</v>
      </c>
      <c r="B8" s="203">
        <v>63257.482479999999</v>
      </c>
    </row>
    <row r="9" spans="1:2" x14ac:dyDescent="0.25">
      <c r="A9" s="124" t="s">
        <v>1189</v>
      </c>
      <c r="B9" s="203">
        <v>48227.160279999996</v>
      </c>
    </row>
    <row r="10" spans="1:2" x14ac:dyDescent="0.25">
      <c r="A10" s="124" t="s">
        <v>1092</v>
      </c>
      <c r="B10" s="203">
        <v>42806.591059999999</v>
      </c>
    </row>
    <row r="11" spans="1:2" x14ac:dyDescent="0.25">
      <c r="A11" s="124" t="s">
        <v>1208</v>
      </c>
      <c r="B11" s="203">
        <v>41868.202570000001</v>
      </c>
    </row>
    <row r="12" spans="1:2" x14ac:dyDescent="0.25">
      <c r="A12" s="124" t="s">
        <v>1015</v>
      </c>
      <c r="B12" s="203">
        <v>41497.155659999997</v>
      </c>
    </row>
    <row r="13" spans="1:2" x14ac:dyDescent="0.25">
      <c r="A13" s="124" t="s">
        <v>1141</v>
      </c>
      <c r="B13" s="203">
        <v>41321.32503</v>
      </c>
    </row>
    <row r="14" spans="1:2" x14ac:dyDescent="0.25">
      <c r="A14" s="124" t="s">
        <v>1024</v>
      </c>
      <c r="B14" s="203">
        <v>31071.761689999999</v>
      </c>
    </row>
    <row r="15" spans="1:2" x14ac:dyDescent="0.25">
      <c r="A15" s="124" t="s">
        <v>1181</v>
      </c>
      <c r="B15" s="203">
        <v>23277.629570000001</v>
      </c>
    </row>
    <row r="16" spans="1:2" x14ac:dyDescent="0.25">
      <c r="A16" s="124" t="s">
        <v>1008</v>
      </c>
      <c r="B16" s="203">
        <v>20535.54609</v>
      </c>
    </row>
    <row r="17" spans="1:2" x14ac:dyDescent="0.25">
      <c r="A17" s="124" t="s">
        <v>1005</v>
      </c>
      <c r="B17" s="203">
        <v>20286.386409999999</v>
      </c>
    </row>
    <row r="18" spans="1:2" x14ac:dyDescent="0.25">
      <c r="A18" s="124" t="s">
        <v>990</v>
      </c>
      <c r="B18" s="203">
        <v>17941.072619999999</v>
      </c>
    </row>
    <row r="19" spans="1:2" x14ac:dyDescent="0.25">
      <c r="A19" s="124" t="s">
        <v>1077</v>
      </c>
      <c r="B19" s="203">
        <v>17476.097109999999</v>
      </c>
    </row>
    <row r="20" spans="1:2" x14ac:dyDescent="0.25">
      <c r="A20" s="124" t="s">
        <v>975</v>
      </c>
      <c r="B20" s="203">
        <v>16973.44054</v>
      </c>
    </row>
    <row r="21" spans="1:2" x14ac:dyDescent="0.25">
      <c r="A21" s="124" t="s">
        <v>1128</v>
      </c>
      <c r="B21" s="203">
        <v>16688.521379999998</v>
      </c>
    </row>
    <row r="22" spans="1:2" x14ac:dyDescent="0.25">
      <c r="A22" s="124" t="s">
        <v>1070</v>
      </c>
      <c r="B22" s="203">
        <v>16484.48662</v>
      </c>
    </row>
    <row r="23" spans="1:2" x14ac:dyDescent="0.25">
      <c r="A23" s="124" t="s">
        <v>973</v>
      </c>
      <c r="B23" s="203">
        <v>15014.92642</v>
      </c>
    </row>
    <row r="24" spans="1:2" x14ac:dyDescent="0.25">
      <c r="A24" s="124" t="s">
        <v>619</v>
      </c>
      <c r="B24" s="203">
        <v>14598.98912</v>
      </c>
    </row>
    <row r="25" spans="1:2" x14ac:dyDescent="0.25">
      <c r="A25" s="124" t="s">
        <v>1219</v>
      </c>
      <c r="B25" s="203">
        <v>13201.618130000001</v>
      </c>
    </row>
    <row r="26" spans="1:2" x14ac:dyDescent="0.25">
      <c r="A26" s="124" t="s">
        <v>1003</v>
      </c>
      <c r="B26" s="203">
        <v>12133.9715</v>
      </c>
    </row>
    <row r="27" spans="1:2" x14ac:dyDescent="0.25">
      <c r="A27" s="124" t="s">
        <v>979</v>
      </c>
      <c r="B27" s="203">
        <v>11963.05781</v>
      </c>
    </row>
    <row r="28" spans="1:2" x14ac:dyDescent="0.25">
      <c r="A28" s="124" t="s">
        <v>1145</v>
      </c>
      <c r="B28" s="203">
        <v>11666.40113</v>
      </c>
    </row>
    <row r="29" spans="1:2" x14ac:dyDescent="0.25">
      <c r="A29" s="124" t="s">
        <v>1204</v>
      </c>
      <c r="B29" s="203">
        <v>11532.807220000001</v>
      </c>
    </row>
    <row r="30" spans="1:2" x14ac:dyDescent="0.25">
      <c r="A30" s="124" t="s">
        <v>1034</v>
      </c>
      <c r="B30" s="203">
        <v>10980.1273</v>
      </c>
    </row>
    <row r="31" spans="1:2" x14ac:dyDescent="0.25">
      <c r="A31" s="124" t="s">
        <v>1032</v>
      </c>
      <c r="B31" s="203">
        <v>10678.27289</v>
      </c>
    </row>
    <row r="32" spans="1:2" x14ac:dyDescent="0.25">
      <c r="A32" s="124" t="s">
        <v>989</v>
      </c>
      <c r="B32" s="203">
        <v>10642.1523</v>
      </c>
    </row>
    <row r="33" spans="1:2" x14ac:dyDescent="0.25">
      <c r="A33" s="124" t="s">
        <v>1093</v>
      </c>
      <c r="B33" s="203">
        <v>10259.08647</v>
      </c>
    </row>
    <row r="34" spans="1:2" x14ac:dyDescent="0.25">
      <c r="A34" s="124" t="s">
        <v>1108</v>
      </c>
      <c r="B34" s="203">
        <v>10134.95334</v>
      </c>
    </row>
    <row r="35" spans="1:2" x14ac:dyDescent="0.25">
      <c r="A35" s="124" t="s">
        <v>1180</v>
      </c>
      <c r="B35" s="176">
        <v>9005.3185689999991</v>
      </c>
    </row>
    <row r="36" spans="1:2" x14ac:dyDescent="0.25">
      <c r="A36" s="124" t="s">
        <v>3573</v>
      </c>
      <c r="B36" s="203">
        <v>8237.0091140000004</v>
      </c>
    </row>
    <row r="37" spans="1:2" x14ac:dyDescent="0.25">
      <c r="A37" s="124" t="s">
        <v>1033</v>
      </c>
      <c r="B37" s="203">
        <v>8154.7203079999999</v>
      </c>
    </row>
    <row r="38" spans="1:2" x14ac:dyDescent="0.25">
      <c r="A38" s="124" t="s">
        <v>1096</v>
      </c>
      <c r="B38" s="203">
        <v>7606.874084</v>
      </c>
    </row>
    <row r="39" spans="1:2" x14ac:dyDescent="0.25">
      <c r="A39" s="124" t="s">
        <v>978</v>
      </c>
      <c r="B39" s="176">
        <v>7495.8624959999997</v>
      </c>
    </row>
    <row r="40" spans="1:2" x14ac:dyDescent="0.25">
      <c r="A40" s="124" t="s">
        <v>1064</v>
      </c>
      <c r="B40" s="203">
        <v>7443.4914019999997</v>
      </c>
    </row>
    <row r="41" spans="1:2" x14ac:dyDescent="0.25">
      <c r="A41" s="124" t="s">
        <v>1045</v>
      </c>
      <c r="B41" s="203">
        <v>7165.0505579999999</v>
      </c>
    </row>
    <row r="42" spans="1:2" x14ac:dyDescent="0.25">
      <c r="A42" s="124" t="s">
        <v>1018</v>
      </c>
      <c r="B42" s="203">
        <v>7051.9339980000004</v>
      </c>
    </row>
    <row r="43" spans="1:2" x14ac:dyDescent="0.25">
      <c r="A43" s="124" t="s">
        <v>981</v>
      </c>
      <c r="B43" s="203">
        <v>6971.0149700000002</v>
      </c>
    </row>
    <row r="44" spans="1:2" x14ac:dyDescent="0.25">
      <c r="A44" s="124" t="s">
        <v>1131</v>
      </c>
      <c r="B44" s="203">
        <v>6830.1388459999998</v>
      </c>
    </row>
    <row r="45" spans="1:2" x14ac:dyDescent="0.25">
      <c r="A45" s="124" t="s">
        <v>1154</v>
      </c>
      <c r="B45" s="203">
        <v>6689.1329219999998</v>
      </c>
    </row>
    <row r="46" spans="1:2" x14ac:dyDescent="0.25">
      <c r="A46" s="124" t="s">
        <v>1149</v>
      </c>
      <c r="B46" s="203">
        <v>6473.6710030000004</v>
      </c>
    </row>
    <row r="47" spans="1:2" x14ac:dyDescent="0.25">
      <c r="A47" s="124" t="s">
        <v>1214</v>
      </c>
      <c r="B47" s="203">
        <v>5979.7410499999996</v>
      </c>
    </row>
    <row r="48" spans="1:2" x14ac:dyDescent="0.25">
      <c r="A48" s="124" t="s">
        <v>3574</v>
      </c>
      <c r="B48" s="203">
        <v>5707.7696589999996</v>
      </c>
    </row>
    <row r="49" spans="1:2" x14ac:dyDescent="0.25">
      <c r="A49" s="124" t="s">
        <v>993</v>
      </c>
      <c r="B49" s="203">
        <v>5630.2763999999997</v>
      </c>
    </row>
    <row r="50" spans="1:2" x14ac:dyDescent="0.25">
      <c r="A50" s="124" t="s">
        <v>1221</v>
      </c>
      <c r="B50" s="176">
        <v>5577.4496799999997</v>
      </c>
    </row>
    <row r="51" spans="1:2" x14ac:dyDescent="0.25">
      <c r="A51" s="124" t="s">
        <v>994</v>
      </c>
      <c r="B51" s="203">
        <v>5564.642218</v>
      </c>
    </row>
    <row r="52" spans="1:2" x14ac:dyDescent="0.25">
      <c r="A52" s="124" t="s">
        <v>1006</v>
      </c>
      <c r="B52" s="203">
        <v>5494.7784789999996</v>
      </c>
    </row>
    <row r="53" spans="1:2" x14ac:dyDescent="0.25">
      <c r="A53" s="124" t="s">
        <v>991</v>
      </c>
      <c r="B53" s="203">
        <v>5281.3138250000002</v>
      </c>
    </row>
    <row r="54" spans="1:2" x14ac:dyDescent="0.25">
      <c r="A54" s="124" t="s">
        <v>1094</v>
      </c>
      <c r="B54" s="203">
        <v>5179.3466360000002</v>
      </c>
    </row>
    <row r="55" spans="1:2" x14ac:dyDescent="0.25">
      <c r="A55" s="124" t="s">
        <v>1178</v>
      </c>
      <c r="B55" s="203">
        <v>5131.1267909999997</v>
      </c>
    </row>
    <row r="56" spans="1:2" x14ac:dyDescent="0.25">
      <c r="A56" s="124" t="s">
        <v>1126</v>
      </c>
      <c r="B56" s="203">
        <v>5087.3071069999996</v>
      </c>
    </row>
    <row r="57" spans="1:2" x14ac:dyDescent="0.25">
      <c r="A57" s="124" t="s">
        <v>1115</v>
      </c>
      <c r="B57" s="203">
        <v>5036.6771689999996</v>
      </c>
    </row>
    <row r="58" spans="1:2" x14ac:dyDescent="0.25">
      <c r="A58" s="124" t="s">
        <v>1069</v>
      </c>
      <c r="B58" s="203">
        <v>4833.426966</v>
      </c>
    </row>
    <row r="59" spans="1:2" x14ac:dyDescent="0.25">
      <c r="A59" s="124" t="s">
        <v>1137</v>
      </c>
      <c r="B59" s="203">
        <v>4697.8148449999999</v>
      </c>
    </row>
    <row r="60" spans="1:2" x14ac:dyDescent="0.25">
      <c r="A60" s="124" t="s">
        <v>1118</v>
      </c>
      <c r="B60" s="203">
        <v>4520.833138</v>
      </c>
    </row>
    <row r="61" spans="1:2" x14ac:dyDescent="0.25">
      <c r="A61" s="124" t="s">
        <v>1059</v>
      </c>
      <c r="B61" s="203">
        <v>4113.2595600000004</v>
      </c>
    </row>
    <row r="62" spans="1:2" x14ac:dyDescent="0.25">
      <c r="A62" s="124" t="s">
        <v>1225</v>
      </c>
      <c r="B62" s="203">
        <v>3595.1300719999999</v>
      </c>
    </row>
    <row r="63" spans="1:2" x14ac:dyDescent="0.25">
      <c r="A63" s="124" t="s">
        <v>1197</v>
      </c>
      <c r="B63" s="203">
        <v>3524.3894580000001</v>
      </c>
    </row>
    <row r="64" spans="1:2" x14ac:dyDescent="0.25">
      <c r="A64" s="124" t="s">
        <v>1039</v>
      </c>
      <c r="B64" s="203">
        <v>3399.4983090000001</v>
      </c>
    </row>
    <row r="65" spans="1:2" x14ac:dyDescent="0.25">
      <c r="A65" s="124" t="s">
        <v>1075</v>
      </c>
      <c r="B65" s="203">
        <v>3234.191534</v>
      </c>
    </row>
    <row r="66" spans="1:2" x14ac:dyDescent="0.25">
      <c r="A66" s="124" t="s">
        <v>3575</v>
      </c>
      <c r="B66" s="203">
        <v>3010.5448889999998</v>
      </c>
    </row>
    <row r="67" spans="1:2" x14ac:dyDescent="0.25">
      <c r="A67" s="124" t="s">
        <v>1025</v>
      </c>
      <c r="B67" s="203">
        <v>3001.5782989999998</v>
      </c>
    </row>
    <row r="68" spans="1:2" x14ac:dyDescent="0.25">
      <c r="A68" s="124" t="s">
        <v>1106</v>
      </c>
      <c r="B68" s="203">
        <v>2762.3773310000001</v>
      </c>
    </row>
    <row r="69" spans="1:2" x14ac:dyDescent="0.25">
      <c r="A69" s="124" t="s">
        <v>1058</v>
      </c>
      <c r="B69" s="203">
        <v>2726.5431699999999</v>
      </c>
    </row>
    <row r="70" spans="1:2" x14ac:dyDescent="0.25">
      <c r="A70" s="124" t="s">
        <v>1019</v>
      </c>
      <c r="B70" s="203">
        <v>2725.315474</v>
      </c>
    </row>
    <row r="71" spans="1:2" x14ac:dyDescent="0.25">
      <c r="A71" s="124" t="s">
        <v>1068</v>
      </c>
      <c r="B71" s="203">
        <v>2646.3537150000002</v>
      </c>
    </row>
    <row r="72" spans="1:2" x14ac:dyDescent="0.25">
      <c r="A72" s="124" t="s">
        <v>1136</v>
      </c>
      <c r="B72" s="203">
        <v>2549.1272880000001</v>
      </c>
    </row>
    <row r="73" spans="1:2" x14ac:dyDescent="0.25">
      <c r="A73" s="124" t="s">
        <v>995</v>
      </c>
      <c r="B73" s="203">
        <v>2509.7598899999998</v>
      </c>
    </row>
    <row r="74" spans="1:2" x14ac:dyDescent="0.25">
      <c r="A74" s="124" t="s">
        <v>1192</v>
      </c>
      <c r="B74" s="203">
        <v>2507.5638789999998</v>
      </c>
    </row>
    <row r="75" spans="1:2" x14ac:dyDescent="0.25">
      <c r="A75" s="124" t="s">
        <v>1104</v>
      </c>
      <c r="B75" s="203">
        <v>2474.5965590000001</v>
      </c>
    </row>
    <row r="76" spans="1:2" x14ac:dyDescent="0.25">
      <c r="A76" s="124" t="s">
        <v>1040</v>
      </c>
      <c r="B76" s="203">
        <v>2446.2185749999999</v>
      </c>
    </row>
    <row r="77" spans="1:2" x14ac:dyDescent="0.25">
      <c r="A77" s="124" t="s">
        <v>1200</v>
      </c>
      <c r="B77" s="203">
        <v>2422.1819070000001</v>
      </c>
    </row>
    <row r="78" spans="1:2" x14ac:dyDescent="0.25">
      <c r="A78" s="124" t="s">
        <v>1046</v>
      </c>
      <c r="B78" s="203">
        <v>2362.4223769999999</v>
      </c>
    </row>
    <row r="79" spans="1:2" x14ac:dyDescent="0.25">
      <c r="A79" s="124" t="s">
        <v>984</v>
      </c>
      <c r="B79" s="203">
        <v>2338.8416459999999</v>
      </c>
    </row>
    <row r="80" spans="1:2" x14ac:dyDescent="0.25">
      <c r="A80" s="124" t="s">
        <v>997</v>
      </c>
      <c r="B80" s="203">
        <v>2276.3168690000002</v>
      </c>
    </row>
    <row r="81" spans="1:2" x14ac:dyDescent="0.25">
      <c r="A81" s="124" t="s">
        <v>3576</v>
      </c>
      <c r="B81" s="203">
        <v>2272.648756</v>
      </c>
    </row>
    <row r="82" spans="1:2" x14ac:dyDescent="0.25">
      <c r="A82" s="124" t="s">
        <v>1054</v>
      </c>
      <c r="B82" s="203">
        <v>2225.2993230000002</v>
      </c>
    </row>
    <row r="83" spans="1:2" x14ac:dyDescent="0.25">
      <c r="A83" s="124" t="s">
        <v>3577</v>
      </c>
      <c r="B83" s="203">
        <v>2218.356781</v>
      </c>
    </row>
    <row r="84" spans="1:2" x14ac:dyDescent="0.25">
      <c r="A84" s="124" t="s">
        <v>1152</v>
      </c>
      <c r="B84" s="203">
        <v>2183.5352560000001</v>
      </c>
    </row>
    <row r="85" spans="1:2" x14ac:dyDescent="0.25">
      <c r="A85" s="124" t="s">
        <v>1010</v>
      </c>
      <c r="B85" s="203">
        <v>2121.0412860000001</v>
      </c>
    </row>
    <row r="86" spans="1:2" x14ac:dyDescent="0.25">
      <c r="A86" s="124" t="s">
        <v>1060</v>
      </c>
      <c r="B86" s="203">
        <v>2098.6605039999999</v>
      </c>
    </row>
    <row r="87" spans="1:2" x14ac:dyDescent="0.25">
      <c r="A87" s="124" t="s">
        <v>987</v>
      </c>
      <c r="B87" s="203">
        <v>2051.9092489999998</v>
      </c>
    </row>
    <row r="88" spans="1:2" x14ac:dyDescent="0.25">
      <c r="A88" s="124" t="s">
        <v>3578</v>
      </c>
      <c r="B88" s="203">
        <v>2021.1719760000001</v>
      </c>
    </row>
    <row r="89" spans="1:2" x14ac:dyDescent="0.25">
      <c r="A89" s="124" t="s">
        <v>976</v>
      </c>
      <c r="B89" s="203">
        <v>1929.656608</v>
      </c>
    </row>
    <row r="90" spans="1:2" x14ac:dyDescent="0.25">
      <c r="A90" s="124" t="s">
        <v>1038</v>
      </c>
      <c r="B90" s="203">
        <v>1883.0472669999999</v>
      </c>
    </row>
    <row r="91" spans="1:2" x14ac:dyDescent="0.25">
      <c r="A91" s="124" t="s">
        <v>3579</v>
      </c>
      <c r="B91" s="203">
        <v>1858.049863</v>
      </c>
    </row>
    <row r="92" spans="1:2" x14ac:dyDescent="0.25">
      <c r="A92" s="124" t="s">
        <v>1030</v>
      </c>
      <c r="B92" s="203">
        <v>1755.898005</v>
      </c>
    </row>
    <row r="93" spans="1:2" x14ac:dyDescent="0.25">
      <c r="A93" s="124" t="s">
        <v>1109</v>
      </c>
      <c r="B93" s="203">
        <v>1702.6603689999999</v>
      </c>
    </row>
    <row r="94" spans="1:2" x14ac:dyDescent="0.25">
      <c r="A94" s="124" t="s">
        <v>3580</v>
      </c>
      <c r="B94" s="203">
        <v>1701.8184879999999</v>
      </c>
    </row>
    <row r="95" spans="1:2" x14ac:dyDescent="0.25">
      <c r="A95" s="124" t="s">
        <v>1066</v>
      </c>
      <c r="B95" s="203">
        <v>1609.2743700000001</v>
      </c>
    </row>
    <row r="96" spans="1:2" x14ac:dyDescent="0.25">
      <c r="A96" s="124" t="s">
        <v>1116</v>
      </c>
      <c r="B96" s="203">
        <v>1586.0515170000001</v>
      </c>
    </row>
    <row r="97" spans="1:2" x14ac:dyDescent="0.25">
      <c r="A97" s="124" t="s">
        <v>1203</v>
      </c>
      <c r="B97" s="203">
        <v>1583.976404</v>
      </c>
    </row>
    <row r="98" spans="1:2" x14ac:dyDescent="0.25">
      <c r="A98" s="124" t="s">
        <v>3581</v>
      </c>
      <c r="B98" s="203">
        <v>1490.1005009999999</v>
      </c>
    </row>
    <row r="99" spans="1:2" x14ac:dyDescent="0.25">
      <c r="A99" s="124" t="s">
        <v>3582</v>
      </c>
      <c r="B99" s="203">
        <v>1485.688627</v>
      </c>
    </row>
    <row r="100" spans="1:2" x14ac:dyDescent="0.25">
      <c r="A100" s="124" t="s">
        <v>1201</v>
      </c>
      <c r="B100" s="203">
        <v>1441.861922</v>
      </c>
    </row>
    <row r="101" spans="1:2" x14ac:dyDescent="0.25">
      <c r="A101" s="124" t="s">
        <v>3583</v>
      </c>
      <c r="B101" s="203">
        <v>1433.139199</v>
      </c>
    </row>
    <row r="102" spans="1:2" x14ac:dyDescent="0.25">
      <c r="A102" s="124" t="s">
        <v>3584</v>
      </c>
      <c r="B102" s="203">
        <v>1324.5431779999999</v>
      </c>
    </row>
    <row r="103" spans="1:2" x14ac:dyDescent="0.25">
      <c r="A103" s="124" t="s">
        <v>3585</v>
      </c>
      <c r="B103" s="203">
        <v>1321.476821</v>
      </c>
    </row>
    <row r="104" spans="1:2" x14ac:dyDescent="0.25">
      <c r="A104" s="124" t="s">
        <v>3586</v>
      </c>
      <c r="B104" s="203">
        <v>1307.9285440000001</v>
      </c>
    </row>
    <row r="105" spans="1:2" x14ac:dyDescent="0.25">
      <c r="A105" s="124" t="s">
        <v>970</v>
      </c>
      <c r="B105" s="203">
        <v>1298.2932310000001</v>
      </c>
    </row>
    <row r="106" spans="1:2" x14ac:dyDescent="0.25">
      <c r="A106" s="124" t="s">
        <v>1088</v>
      </c>
      <c r="B106" s="176">
        <v>1279.1184559999999</v>
      </c>
    </row>
    <row r="107" spans="1:2" x14ac:dyDescent="0.25">
      <c r="A107" s="124" t="s">
        <v>999</v>
      </c>
      <c r="B107" s="176">
        <v>1274.1147920000001</v>
      </c>
    </row>
    <row r="108" spans="1:2" x14ac:dyDescent="0.25">
      <c r="A108" s="124" t="s">
        <v>1020</v>
      </c>
      <c r="B108" s="176">
        <v>1254.1382920000001</v>
      </c>
    </row>
    <row r="109" spans="1:2" x14ac:dyDescent="0.25">
      <c r="A109" s="124" t="s">
        <v>1082</v>
      </c>
      <c r="B109" s="176">
        <v>1247.7750920000001</v>
      </c>
    </row>
    <row r="110" spans="1:2" x14ac:dyDescent="0.25">
      <c r="A110" s="124" t="s">
        <v>1105</v>
      </c>
      <c r="B110" s="176">
        <v>1240.4776300000001</v>
      </c>
    </row>
    <row r="111" spans="1:2" x14ac:dyDescent="0.25">
      <c r="A111" s="124" t="s">
        <v>1031</v>
      </c>
      <c r="B111" s="176">
        <v>1222.5173809999999</v>
      </c>
    </row>
    <row r="112" spans="1:2" x14ac:dyDescent="0.25">
      <c r="A112" s="124" t="s">
        <v>3587</v>
      </c>
      <c r="B112" s="176">
        <v>1222.0995190000001</v>
      </c>
    </row>
    <row r="113" spans="1:2" x14ac:dyDescent="0.25">
      <c r="A113" s="124" t="s">
        <v>1107</v>
      </c>
      <c r="B113" s="176">
        <v>1219.1278589999999</v>
      </c>
    </row>
    <row r="114" spans="1:2" x14ac:dyDescent="0.25">
      <c r="A114" s="124" t="s">
        <v>3588</v>
      </c>
      <c r="B114" s="176">
        <v>1146.6821660000001</v>
      </c>
    </row>
    <row r="115" spans="1:2" x14ac:dyDescent="0.25">
      <c r="A115" s="124" t="s">
        <v>996</v>
      </c>
      <c r="B115" s="176">
        <v>1123.186091</v>
      </c>
    </row>
    <row r="116" spans="1:2" x14ac:dyDescent="0.25">
      <c r="A116" s="124" t="s">
        <v>3589</v>
      </c>
      <c r="B116" s="176">
        <v>1087.8180279999999</v>
      </c>
    </row>
    <row r="117" spans="1:2" x14ac:dyDescent="0.25">
      <c r="A117" s="124" t="s">
        <v>3590</v>
      </c>
      <c r="B117" s="176">
        <v>1070.6245939999999</v>
      </c>
    </row>
    <row r="118" spans="1:2" x14ac:dyDescent="0.25">
      <c r="A118" s="124" t="s">
        <v>1110</v>
      </c>
      <c r="B118" s="176">
        <v>1054.8480489999999</v>
      </c>
    </row>
    <row r="119" spans="1:2" x14ac:dyDescent="0.25">
      <c r="A119" s="124" t="s">
        <v>1016</v>
      </c>
      <c r="B119" s="176">
        <v>1053.305427</v>
      </c>
    </row>
    <row r="120" spans="1:2" x14ac:dyDescent="0.25">
      <c r="A120" s="124" t="s">
        <v>972</v>
      </c>
      <c r="B120" s="176">
        <v>1045.460975</v>
      </c>
    </row>
    <row r="121" spans="1:2" x14ac:dyDescent="0.25">
      <c r="A121" s="124" t="s">
        <v>1013</v>
      </c>
      <c r="B121" s="176">
        <v>1034.405765</v>
      </c>
    </row>
    <row r="122" spans="1:2" x14ac:dyDescent="0.25">
      <c r="A122" s="124" t="s">
        <v>1028</v>
      </c>
      <c r="B122" s="176">
        <v>1028.7937569999999</v>
      </c>
    </row>
    <row r="123" spans="1:2" x14ac:dyDescent="0.25">
      <c r="A123" s="124" t="s">
        <v>1121</v>
      </c>
      <c r="B123" s="176">
        <v>1019.993781</v>
      </c>
    </row>
    <row r="124" spans="1:2" x14ac:dyDescent="0.25">
      <c r="A124" s="124" t="s">
        <v>1133</v>
      </c>
      <c r="B124" s="176">
        <v>991.56877350000002</v>
      </c>
    </row>
    <row r="125" spans="1:2" x14ac:dyDescent="0.25">
      <c r="A125" s="124" t="s">
        <v>3591</v>
      </c>
      <c r="B125" s="176">
        <v>971.71845810000002</v>
      </c>
    </row>
    <row r="126" spans="1:2" x14ac:dyDescent="0.25">
      <c r="A126" s="124" t="s">
        <v>1041</v>
      </c>
      <c r="B126" s="176">
        <v>920.80361000000005</v>
      </c>
    </row>
    <row r="127" spans="1:2" x14ac:dyDescent="0.25">
      <c r="A127" s="124" t="s">
        <v>1055</v>
      </c>
      <c r="B127" s="176">
        <v>914.46023249999996</v>
      </c>
    </row>
    <row r="128" spans="1:2" x14ac:dyDescent="0.25">
      <c r="A128" s="124" t="s">
        <v>1053</v>
      </c>
      <c r="B128" s="176">
        <v>893.94956990000003</v>
      </c>
    </row>
    <row r="129" spans="1:2" x14ac:dyDescent="0.25">
      <c r="A129" s="124" t="s">
        <v>1202</v>
      </c>
      <c r="B129" s="176">
        <v>877.79684799999995</v>
      </c>
    </row>
    <row r="130" spans="1:2" x14ac:dyDescent="0.25">
      <c r="A130" s="124" t="s">
        <v>1067</v>
      </c>
      <c r="B130" s="176">
        <v>870.24673849999999</v>
      </c>
    </row>
    <row r="131" spans="1:2" x14ac:dyDescent="0.25">
      <c r="A131" s="124" t="s">
        <v>1021</v>
      </c>
      <c r="B131" s="176">
        <v>866.75008769999999</v>
      </c>
    </row>
    <row r="132" spans="1:2" x14ac:dyDescent="0.25">
      <c r="A132" s="124" t="s">
        <v>3592</v>
      </c>
      <c r="B132" s="176">
        <v>851.18056660000002</v>
      </c>
    </row>
    <row r="133" spans="1:2" x14ac:dyDescent="0.25">
      <c r="A133" s="124" t="s">
        <v>971</v>
      </c>
      <c r="B133" s="176">
        <v>818.90995480000004</v>
      </c>
    </row>
    <row r="134" spans="1:2" x14ac:dyDescent="0.25">
      <c r="A134" s="124" t="s">
        <v>1215</v>
      </c>
      <c r="B134" s="176">
        <v>817.58215480000001</v>
      </c>
    </row>
    <row r="135" spans="1:2" x14ac:dyDescent="0.25">
      <c r="A135" s="124" t="s">
        <v>3593</v>
      </c>
      <c r="B135" s="176">
        <v>815.51945090000004</v>
      </c>
    </row>
    <row r="136" spans="1:2" x14ac:dyDescent="0.25">
      <c r="A136" s="124" t="s">
        <v>992</v>
      </c>
      <c r="B136" s="176">
        <v>787.98130449999996</v>
      </c>
    </row>
    <row r="137" spans="1:2" x14ac:dyDescent="0.25">
      <c r="A137" s="124" t="s">
        <v>1113</v>
      </c>
      <c r="B137" s="176">
        <v>783.5252213</v>
      </c>
    </row>
    <row r="138" spans="1:2" x14ac:dyDescent="0.25">
      <c r="A138" s="124" t="s">
        <v>3594</v>
      </c>
      <c r="B138" s="176">
        <v>777.07187429999999</v>
      </c>
    </row>
    <row r="139" spans="1:2" x14ac:dyDescent="0.25">
      <c r="A139" s="124" t="s">
        <v>1012</v>
      </c>
      <c r="B139" s="176">
        <v>774.20681430000002</v>
      </c>
    </row>
    <row r="140" spans="1:2" x14ac:dyDescent="0.25">
      <c r="A140" s="124" t="s">
        <v>1004</v>
      </c>
      <c r="B140" s="176">
        <v>757.44909270000005</v>
      </c>
    </row>
    <row r="141" spans="1:2" x14ac:dyDescent="0.25">
      <c r="A141" s="124" t="s">
        <v>3595</v>
      </c>
      <c r="B141" s="176">
        <v>749.14391360000002</v>
      </c>
    </row>
    <row r="142" spans="1:2" x14ac:dyDescent="0.25">
      <c r="A142" s="124" t="s">
        <v>1095</v>
      </c>
      <c r="B142" s="176">
        <v>735.90320489999999</v>
      </c>
    </row>
    <row r="143" spans="1:2" x14ac:dyDescent="0.25">
      <c r="A143" s="124" t="s">
        <v>1011</v>
      </c>
      <c r="B143" s="176">
        <v>733.8762663</v>
      </c>
    </row>
    <row r="144" spans="1:2" x14ac:dyDescent="0.25">
      <c r="A144" s="124" t="s">
        <v>1119</v>
      </c>
      <c r="B144" s="176">
        <v>720.87263150000001</v>
      </c>
    </row>
    <row r="145" spans="1:2" x14ac:dyDescent="0.25">
      <c r="A145" s="124" t="s">
        <v>1103</v>
      </c>
      <c r="B145" s="176">
        <v>718.03698510000004</v>
      </c>
    </row>
    <row r="146" spans="1:2" x14ac:dyDescent="0.25">
      <c r="A146" s="124" t="s">
        <v>1071</v>
      </c>
      <c r="B146" s="176">
        <v>703.97526719999996</v>
      </c>
    </row>
    <row r="147" spans="1:2" x14ac:dyDescent="0.25">
      <c r="A147" s="124" t="s">
        <v>1100</v>
      </c>
      <c r="B147" s="176">
        <v>696.59135739999999</v>
      </c>
    </row>
    <row r="148" spans="1:2" x14ac:dyDescent="0.25">
      <c r="A148" s="124" t="s">
        <v>1056</v>
      </c>
      <c r="B148" s="176">
        <v>693.97262639999997</v>
      </c>
    </row>
    <row r="149" spans="1:2" x14ac:dyDescent="0.25">
      <c r="A149" s="124" t="s">
        <v>988</v>
      </c>
      <c r="B149" s="176">
        <v>681.91424259999997</v>
      </c>
    </row>
    <row r="150" spans="1:2" x14ac:dyDescent="0.25">
      <c r="A150" s="124" t="s">
        <v>977</v>
      </c>
      <c r="B150" s="176">
        <v>660.21998159999998</v>
      </c>
    </row>
    <row r="151" spans="1:2" x14ac:dyDescent="0.25">
      <c r="A151" s="124" t="s">
        <v>3596</v>
      </c>
      <c r="B151" s="176">
        <v>641.59833330000004</v>
      </c>
    </row>
    <row r="152" spans="1:2" x14ac:dyDescent="0.25">
      <c r="A152" s="124" t="s">
        <v>1000</v>
      </c>
      <c r="B152" s="176">
        <v>629.74530460000005</v>
      </c>
    </row>
    <row r="153" spans="1:2" x14ac:dyDescent="0.25">
      <c r="A153" s="124" t="s">
        <v>1098</v>
      </c>
      <c r="B153" s="176">
        <v>628.62920169999995</v>
      </c>
    </row>
    <row r="154" spans="1:2" x14ac:dyDescent="0.25">
      <c r="A154" s="124" t="s">
        <v>1222</v>
      </c>
      <c r="B154" s="176">
        <v>621.76285270000005</v>
      </c>
    </row>
    <row r="155" spans="1:2" x14ac:dyDescent="0.25">
      <c r="A155" s="124" t="s">
        <v>1081</v>
      </c>
      <c r="B155" s="176">
        <v>591.82601550000004</v>
      </c>
    </row>
    <row r="156" spans="1:2" x14ac:dyDescent="0.25">
      <c r="A156" s="124" t="s">
        <v>3597</v>
      </c>
      <c r="B156" s="176">
        <v>587.6618522</v>
      </c>
    </row>
    <row r="157" spans="1:2" x14ac:dyDescent="0.25">
      <c r="A157" s="124" t="s">
        <v>1002</v>
      </c>
      <c r="B157" s="176">
        <v>569.46950979999997</v>
      </c>
    </row>
    <row r="158" spans="1:2" x14ac:dyDescent="0.25">
      <c r="A158" s="124" t="s">
        <v>1138</v>
      </c>
      <c r="B158" s="176">
        <v>560.1291956</v>
      </c>
    </row>
    <row r="159" spans="1:2" x14ac:dyDescent="0.25">
      <c r="A159" s="124" t="s">
        <v>998</v>
      </c>
      <c r="B159" s="176">
        <v>547.41922980000004</v>
      </c>
    </row>
    <row r="160" spans="1:2" x14ac:dyDescent="0.25">
      <c r="A160" s="124" t="s">
        <v>3598</v>
      </c>
      <c r="B160" s="176">
        <v>527.5541154</v>
      </c>
    </row>
    <row r="161" spans="1:2" x14ac:dyDescent="0.25">
      <c r="A161" s="124" t="s">
        <v>3599</v>
      </c>
      <c r="B161" s="203">
        <v>500.63755470000001</v>
      </c>
    </row>
    <row r="162" spans="1:2" x14ac:dyDescent="0.25">
      <c r="A162" s="124" t="s">
        <v>1017</v>
      </c>
      <c r="B162" s="203">
        <v>500.39588220000002</v>
      </c>
    </row>
    <row r="163" spans="1:2" x14ac:dyDescent="0.25">
      <c r="A163" s="124" t="s">
        <v>1142</v>
      </c>
      <c r="B163" s="203">
        <v>494.36319220000001</v>
      </c>
    </row>
    <row r="164" spans="1:2" x14ac:dyDescent="0.25">
      <c r="A164" s="124" t="s">
        <v>1165</v>
      </c>
      <c r="B164" s="203">
        <v>491.01047820000002</v>
      </c>
    </row>
    <row r="165" spans="1:2" x14ac:dyDescent="0.25">
      <c r="A165" s="124" t="s">
        <v>3600</v>
      </c>
      <c r="B165" s="203">
        <v>482.44758209999998</v>
      </c>
    </row>
    <row r="166" spans="1:2" x14ac:dyDescent="0.25">
      <c r="A166" s="124" t="s">
        <v>1043</v>
      </c>
      <c r="B166" s="203">
        <v>461.42168750000002</v>
      </c>
    </row>
    <row r="167" spans="1:2" x14ac:dyDescent="0.25">
      <c r="A167" s="124" t="s">
        <v>986</v>
      </c>
      <c r="B167" s="203">
        <v>461.3094208</v>
      </c>
    </row>
    <row r="168" spans="1:2" x14ac:dyDescent="0.25">
      <c r="A168" s="124" t="s">
        <v>3601</v>
      </c>
      <c r="B168" s="203">
        <v>452.09784990000003</v>
      </c>
    </row>
    <row r="169" spans="1:2" x14ac:dyDescent="0.25">
      <c r="A169" s="124" t="s">
        <v>1076</v>
      </c>
      <c r="B169" s="203">
        <v>437.22793200000001</v>
      </c>
    </row>
    <row r="170" spans="1:2" x14ac:dyDescent="0.25">
      <c r="A170" s="124" t="s">
        <v>1061</v>
      </c>
      <c r="B170" s="203">
        <v>420.72311020000001</v>
      </c>
    </row>
    <row r="171" spans="1:2" x14ac:dyDescent="0.25">
      <c r="A171" s="124" t="s">
        <v>1086</v>
      </c>
      <c r="B171" s="203">
        <v>416.47674019999999</v>
      </c>
    </row>
    <row r="172" spans="1:2" x14ac:dyDescent="0.25">
      <c r="A172" s="124" t="s">
        <v>1139</v>
      </c>
      <c r="B172" s="203">
        <v>414.92539110000001</v>
      </c>
    </row>
    <row r="173" spans="1:2" x14ac:dyDescent="0.25">
      <c r="A173" s="124" t="s">
        <v>1161</v>
      </c>
      <c r="B173" s="203">
        <v>414.36549070000001</v>
      </c>
    </row>
    <row r="174" spans="1:2" x14ac:dyDescent="0.25">
      <c r="A174" s="124" t="s">
        <v>1185</v>
      </c>
      <c r="B174" s="203">
        <v>410.56552140000002</v>
      </c>
    </row>
    <row r="175" spans="1:2" x14ac:dyDescent="0.25">
      <c r="A175" s="124" t="s">
        <v>1084</v>
      </c>
      <c r="B175" s="203">
        <v>409.3825521</v>
      </c>
    </row>
    <row r="176" spans="1:2" x14ac:dyDescent="0.25">
      <c r="A176" s="124" t="s">
        <v>1193</v>
      </c>
      <c r="B176" s="203">
        <v>384.16833450000001</v>
      </c>
    </row>
    <row r="177" spans="1:2" x14ac:dyDescent="0.25">
      <c r="A177" s="124" t="s">
        <v>3602</v>
      </c>
      <c r="B177" s="203">
        <v>374.75174850000002</v>
      </c>
    </row>
    <row r="178" spans="1:2" x14ac:dyDescent="0.25">
      <c r="A178" s="124" t="s">
        <v>1047</v>
      </c>
      <c r="B178" s="203">
        <v>370.38560489999998</v>
      </c>
    </row>
    <row r="179" spans="1:2" x14ac:dyDescent="0.25">
      <c r="A179" s="124" t="s">
        <v>1057</v>
      </c>
      <c r="B179" s="203">
        <v>355.80412319999999</v>
      </c>
    </row>
    <row r="180" spans="1:2" x14ac:dyDescent="0.25">
      <c r="A180" s="124" t="s">
        <v>1122</v>
      </c>
      <c r="B180" s="203">
        <v>355.60988850000001</v>
      </c>
    </row>
    <row r="181" spans="1:2" x14ac:dyDescent="0.25">
      <c r="A181" s="124" t="s">
        <v>974</v>
      </c>
      <c r="B181" s="203">
        <v>343.1720565</v>
      </c>
    </row>
    <row r="182" spans="1:2" x14ac:dyDescent="0.25">
      <c r="A182" s="124" t="s">
        <v>1023</v>
      </c>
      <c r="B182" s="203">
        <v>334.2830846</v>
      </c>
    </row>
    <row r="183" spans="1:2" x14ac:dyDescent="0.25">
      <c r="A183" s="124" t="s">
        <v>1027</v>
      </c>
      <c r="B183" s="203">
        <v>330.91340509999998</v>
      </c>
    </row>
    <row r="184" spans="1:2" x14ac:dyDescent="0.25">
      <c r="A184" s="124" t="s">
        <v>3332</v>
      </c>
      <c r="B184" s="176">
        <v>315.64301390000003</v>
      </c>
    </row>
    <row r="185" spans="1:2" x14ac:dyDescent="0.25">
      <c r="A185" s="124" t="s">
        <v>1089</v>
      </c>
      <c r="B185" s="203">
        <v>313.63432180000001</v>
      </c>
    </row>
    <row r="186" spans="1:2" x14ac:dyDescent="0.25">
      <c r="A186" s="124" t="s">
        <v>1172</v>
      </c>
      <c r="B186" s="203">
        <v>312.58620029999997</v>
      </c>
    </row>
    <row r="187" spans="1:2" x14ac:dyDescent="0.25">
      <c r="A187" s="124" t="s">
        <v>1050</v>
      </c>
      <c r="B187" s="203">
        <v>311.88167970000001</v>
      </c>
    </row>
    <row r="188" spans="1:2" x14ac:dyDescent="0.25">
      <c r="A188" s="124" t="s">
        <v>3603</v>
      </c>
      <c r="B188" s="203">
        <v>302.2606811</v>
      </c>
    </row>
    <row r="189" spans="1:2" x14ac:dyDescent="0.25">
      <c r="A189" s="124" t="s">
        <v>1037</v>
      </c>
      <c r="B189" s="203">
        <v>294.6575967</v>
      </c>
    </row>
    <row r="190" spans="1:2" x14ac:dyDescent="0.25">
      <c r="A190" s="124" t="s">
        <v>3604</v>
      </c>
      <c r="B190" s="203">
        <v>287.63947489999998</v>
      </c>
    </row>
    <row r="191" spans="1:2" x14ac:dyDescent="0.25">
      <c r="A191" s="124" t="s">
        <v>1102</v>
      </c>
      <c r="B191" s="203">
        <v>277.55087850000001</v>
      </c>
    </row>
    <row r="192" spans="1:2" x14ac:dyDescent="0.25">
      <c r="A192" s="124" t="s">
        <v>1211</v>
      </c>
      <c r="B192" s="203">
        <v>276.67905000000002</v>
      </c>
    </row>
    <row r="193" spans="1:2" x14ac:dyDescent="0.25">
      <c r="A193" s="124" t="s">
        <v>982</v>
      </c>
      <c r="B193" s="203">
        <v>275.81333569999998</v>
      </c>
    </row>
    <row r="194" spans="1:2" x14ac:dyDescent="0.25">
      <c r="A194" s="124" t="s">
        <v>3605</v>
      </c>
      <c r="B194" s="203">
        <v>274.64225729999998</v>
      </c>
    </row>
    <row r="195" spans="1:2" x14ac:dyDescent="0.25">
      <c r="A195" s="124" t="s">
        <v>3606</v>
      </c>
      <c r="B195" s="203">
        <v>271.98586749999998</v>
      </c>
    </row>
    <row r="196" spans="1:2" x14ac:dyDescent="0.25">
      <c r="A196" s="124" t="s">
        <v>1001</v>
      </c>
      <c r="B196" s="203">
        <v>271.10464819999999</v>
      </c>
    </row>
    <row r="197" spans="1:2" x14ac:dyDescent="0.25">
      <c r="A197" s="124" t="s">
        <v>1144</v>
      </c>
      <c r="B197" s="203">
        <v>268.34716830000002</v>
      </c>
    </row>
    <row r="198" spans="1:2" x14ac:dyDescent="0.25">
      <c r="A198" s="124" t="s">
        <v>1163</v>
      </c>
      <c r="B198" s="203">
        <v>266.56902960000002</v>
      </c>
    </row>
    <row r="199" spans="1:2" x14ac:dyDescent="0.25">
      <c r="A199" s="124" t="s">
        <v>1125</v>
      </c>
      <c r="B199" s="203">
        <v>264.63025449999998</v>
      </c>
    </row>
    <row r="200" spans="1:2" x14ac:dyDescent="0.25">
      <c r="A200" s="124" t="s">
        <v>1029</v>
      </c>
      <c r="B200" s="203">
        <v>257.03093899999999</v>
      </c>
    </row>
    <row r="201" spans="1:2" x14ac:dyDescent="0.25">
      <c r="A201" s="124" t="s">
        <v>1091</v>
      </c>
      <c r="B201" s="203">
        <v>238.00661260000001</v>
      </c>
    </row>
    <row r="202" spans="1:2" x14ac:dyDescent="0.25">
      <c r="A202" s="124" t="s">
        <v>3119</v>
      </c>
      <c r="B202" s="203">
        <v>236.8507291</v>
      </c>
    </row>
    <row r="203" spans="1:2" x14ac:dyDescent="0.25">
      <c r="A203" s="124" t="s">
        <v>1158</v>
      </c>
      <c r="B203" s="203">
        <v>230.22929350000001</v>
      </c>
    </row>
    <row r="204" spans="1:2" x14ac:dyDescent="0.25">
      <c r="A204" s="124" t="s">
        <v>3607</v>
      </c>
      <c r="B204" s="203">
        <v>224.87571919999999</v>
      </c>
    </row>
    <row r="205" spans="1:2" x14ac:dyDescent="0.25">
      <c r="A205" s="124" t="s">
        <v>1167</v>
      </c>
      <c r="B205" s="203">
        <v>224.22042429999999</v>
      </c>
    </row>
    <row r="206" spans="1:2" x14ac:dyDescent="0.25">
      <c r="A206" s="124" t="s">
        <v>3608</v>
      </c>
      <c r="B206" s="203">
        <v>221.8653994</v>
      </c>
    </row>
    <row r="207" spans="1:2" x14ac:dyDescent="0.25">
      <c r="A207" s="124" t="s">
        <v>1063</v>
      </c>
      <c r="B207" s="203">
        <v>220.17348459999999</v>
      </c>
    </row>
    <row r="208" spans="1:2" x14ac:dyDescent="0.25">
      <c r="A208" s="124" t="s">
        <v>1026</v>
      </c>
      <c r="B208" s="203">
        <v>216.5012481</v>
      </c>
    </row>
    <row r="209" spans="1:2" x14ac:dyDescent="0.25">
      <c r="A209" s="124" t="s">
        <v>1177</v>
      </c>
      <c r="B209" s="203">
        <v>213.92745120000001</v>
      </c>
    </row>
    <row r="210" spans="1:2" x14ac:dyDescent="0.25">
      <c r="A210" s="124" t="s">
        <v>3609</v>
      </c>
      <c r="B210" s="203">
        <v>209.78143009999999</v>
      </c>
    </row>
    <row r="211" spans="1:2" x14ac:dyDescent="0.25">
      <c r="A211" s="124" t="s">
        <v>1146</v>
      </c>
      <c r="B211" s="176">
        <v>209.45217500000001</v>
      </c>
    </row>
    <row r="212" spans="1:2" x14ac:dyDescent="0.25">
      <c r="A212" s="124" t="s">
        <v>1049</v>
      </c>
      <c r="B212" s="203">
        <v>203.03307720000001</v>
      </c>
    </row>
    <row r="213" spans="1:2" x14ac:dyDescent="0.25">
      <c r="A213" s="124" t="s">
        <v>1051</v>
      </c>
      <c r="B213" s="203">
        <v>198.01850780000001</v>
      </c>
    </row>
    <row r="214" spans="1:2" x14ac:dyDescent="0.25">
      <c r="A214" s="124" t="s">
        <v>1009</v>
      </c>
      <c r="B214" s="203">
        <v>192.04148069999999</v>
      </c>
    </row>
    <row r="215" spans="1:2" x14ac:dyDescent="0.25">
      <c r="A215" s="124" t="s">
        <v>1157</v>
      </c>
      <c r="B215" s="203">
        <v>188.89247549999999</v>
      </c>
    </row>
    <row r="216" spans="1:2" x14ac:dyDescent="0.25">
      <c r="A216" s="124" t="s">
        <v>3610</v>
      </c>
      <c r="B216" s="203">
        <v>183.9729849</v>
      </c>
    </row>
    <row r="217" spans="1:2" x14ac:dyDescent="0.25">
      <c r="A217" s="124" t="s">
        <v>3611</v>
      </c>
      <c r="B217" s="203">
        <v>182.19122569999999</v>
      </c>
    </row>
    <row r="218" spans="1:2" x14ac:dyDescent="0.25">
      <c r="A218" s="124" t="s">
        <v>1083</v>
      </c>
      <c r="B218" s="203">
        <v>180.65508919999999</v>
      </c>
    </row>
    <row r="219" spans="1:2" x14ac:dyDescent="0.25">
      <c r="A219" s="124" t="s">
        <v>1213</v>
      </c>
      <c r="B219" s="203">
        <v>178.36618859999999</v>
      </c>
    </row>
    <row r="220" spans="1:2" x14ac:dyDescent="0.25">
      <c r="A220" s="124" t="s">
        <v>983</v>
      </c>
      <c r="B220" s="203">
        <v>177.0732237</v>
      </c>
    </row>
    <row r="221" spans="1:2" x14ac:dyDescent="0.25">
      <c r="A221" s="124" t="s">
        <v>1099</v>
      </c>
      <c r="B221" s="203">
        <v>176.18646200000001</v>
      </c>
    </row>
    <row r="222" spans="1:2" x14ac:dyDescent="0.25">
      <c r="A222" s="124" t="s">
        <v>1065</v>
      </c>
      <c r="B222" s="203">
        <v>172.65157020000001</v>
      </c>
    </row>
    <row r="223" spans="1:2" x14ac:dyDescent="0.25">
      <c r="A223" s="124" t="s">
        <v>985</v>
      </c>
      <c r="B223" s="203">
        <v>172.4045706</v>
      </c>
    </row>
    <row r="224" spans="1:2" x14ac:dyDescent="0.25">
      <c r="A224" s="124" t="s">
        <v>1127</v>
      </c>
      <c r="B224" s="203">
        <v>170.488485</v>
      </c>
    </row>
    <row r="225" spans="1:2" x14ac:dyDescent="0.25">
      <c r="A225" s="124" t="s">
        <v>1147</v>
      </c>
      <c r="B225" s="203">
        <v>167.4612741</v>
      </c>
    </row>
    <row r="226" spans="1:2" x14ac:dyDescent="0.25">
      <c r="A226" s="124" t="s">
        <v>3612</v>
      </c>
      <c r="B226" s="203">
        <v>161.6562519</v>
      </c>
    </row>
    <row r="227" spans="1:2" x14ac:dyDescent="0.25">
      <c r="A227" s="124" t="s">
        <v>3613</v>
      </c>
      <c r="B227" s="203">
        <v>158.11530680000001</v>
      </c>
    </row>
    <row r="228" spans="1:2" x14ac:dyDescent="0.25">
      <c r="A228" s="124" t="s">
        <v>3614</v>
      </c>
      <c r="B228" s="203">
        <v>153.65440950000001</v>
      </c>
    </row>
    <row r="229" spans="1:2" x14ac:dyDescent="0.25">
      <c r="A229" s="124" t="s">
        <v>1207</v>
      </c>
      <c r="B229" s="203">
        <v>149.70748330000001</v>
      </c>
    </row>
    <row r="230" spans="1:2" x14ac:dyDescent="0.25">
      <c r="A230" s="124" t="s">
        <v>3615</v>
      </c>
      <c r="B230" s="203">
        <v>138.75057380000001</v>
      </c>
    </row>
    <row r="231" spans="1:2" x14ac:dyDescent="0.25">
      <c r="A231" s="124" t="s">
        <v>3616</v>
      </c>
      <c r="B231" s="203">
        <v>136.57633970000001</v>
      </c>
    </row>
    <row r="232" spans="1:2" x14ac:dyDescent="0.25">
      <c r="A232" s="124" t="s">
        <v>1014</v>
      </c>
      <c r="B232" s="203">
        <v>133.59645620000001</v>
      </c>
    </row>
    <row r="233" spans="1:2" x14ac:dyDescent="0.25">
      <c r="A233" s="124" t="s">
        <v>1022</v>
      </c>
      <c r="B233" s="203">
        <v>132.59836849999999</v>
      </c>
    </row>
    <row r="234" spans="1:2" x14ac:dyDescent="0.25">
      <c r="A234" s="124" t="s">
        <v>1223</v>
      </c>
      <c r="B234" s="203">
        <v>124.4149074</v>
      </c>
    </row>
    <row r="235" spans="1:2" x14ac:dyDescent="0.25">
      <c r="A235" s="124" t="s">
        <v>1044</v>
      </c>
      <c r="B235" s="203">
        <v>121.4346596</v>
      </c>
    </row>
    <row r="236" spans="1:2" x14ac:dyDescent="0.25">
      <c r="A236" s="124" t="s">
        <v>3617</v>
      </c>
      <c r="B236" s="203">
        <v>120.1463638</v>
      </c>
    </row>
    <row r="237" spans="1:2" x14ac:dyDescent="0.25">
      <c r="A237" s="124" t="s">
        <v>3618</v>
      </c>
      <c r="B237" s="203">
        <v>115.189234</v>
      </c>
    </row>
    <row r="238" spans="1:2" x14ac:dyDescent="0.25">
      <c r="A238" s="124" t="s">
        <v>1111</v>
      </c>
      <c r="B238" s="203">
        <v>114.6112018</v>
      </c>
    </row>
    <row r="239" spans="1:2" x14ac:dyDescent="0.25">
      <c r="A239" s="124" t="s">
        <v>1007</v>
      </c>
      <c r="B239" s="203">
        <v>113.2681348</v>
      </c>
    </row>
    <row r="240" spans="1:2" x14ac:dyDescent="0.25">
      <c r="A240" s="124" t="s">
        <v>3619</v>
      </c>
      <c r="B240" s="203">
        <v>111.78004420000001</v>
      </c>
    </row>
    <row r="241" spans="1:2" x14ac:dyDescent="0.25">
      <c r="A241" s="124" t="s">
        <v>1130</v>
      </c>
      <c r="B241" s="203">
        <v>107.0898751</v>
      </c>
    </row>
    <row r="242" spans="1:2" x14ac:dyDescent="0.25">
      <c r="A242" s="124" t="s">
        <v>1073</v>
      </c>
      <c r="B242" s="203">
        <v>99.560935990000004</v>
      </c>
    </row>
    <row r="243" spans="1:2" x14ac:dyDescent="0.25">
      <c r="A243" s="124" t="s">
        <v>1148</v>
      </c>
      <c r="B243" s="203">
        <v>98.828894230000003</v>
      </c>
    </row>
    <row r="244" spans="1:2" x14ac:dyDescent="0.25">
      <c r="A244" s="124" t="s">
        <v>1153</v>
      </c>
      <c r="B244" s="203">
        <v>98.695188959999996</v>
      </c>
    </row>
    <row r="245" spans="1:2" x14ac:dyDescent="0.25">
      <c r="A245" s="124" t="s">
        <v>1112</v>
      </c>
      <c r="B245" s="203">
        <v>96.733131560000004</v>
      </c>
    </row>
    <row r="246" spans="1:2" x14ac:dyDescent="0.25">
      <c r="A246" s="124" t="s">
        <v>3620</v>
      </c>
      <c r="B246" s="203">
        <v>96.605801929999998</v>
      </c>
    </row>
    <row r="247" spans="1:2" x14ac:dyDescent="0.25">
      <c r="A247" s="124" t="s">
        <v>3621</v>
      </c>
      <c r="B247" s="203">
        <v>95.694174419999996</v>
      </c>
    </row>
    <row r="248" spans="1:2" x14ac:dyDescent="0.25">
      <c r="A248" s="124" t="s">
        <v>3622</v>
      </c>
      <c r="B248" s="203">
        <v>93.433095260000002</v>
      </c>
    </row>
    <row r="249" spans="1:2" x14ac:dyDescent="0.25">
      <c r="A249" s="124" t="s">
        <v>1074</v>
      </c>
      <c r="B249" s="203">
        <v>91.153088940000004</v>
      </c>
    </row>
    <row r="250" spans="1:2" x14ac:dyDescent="0.25">
      <c r="A250" s="124" t="s">
        <v>1155</v>
      </c>
      <c r="B250" s="203">
        <v>90.953905849999998</v>
      </c>
    </row>
    <row r="251" spans="1:2" x14ac:dyDescent="0.25">
      <c r="A251" s="124" t="s">
        <v>1124</v>
      </c>
      <c r="B251" s="203">
        <v>90.633007390000003</v>
      </c>
    </row>
    <row r="252" spans="1:2" x14ac:dyDescent="0.25">
      <c r="A252" s="124" t="s">
        <v>1120</v>
      </c>
      <c r="B252" s="203">
        <v>89.755134870000006</v>
      </c>
    </row>
    <row r="253" spans="1:2" x14ac:dyDescent="0.25">
      <c r="A253" s="124" t="s">
        <v>1176</v>
      </c>
      <c r="B253" s="203">
        <v>88.367390630000003</v>
      </c>
    </row>
    <row r="254" spans="1:2" x14ac:dyDescent="0.25">
      <c r="A254" s="124" t="s">
        <v>1190</v>
      </c>
      <c r="B254" s="176">
        <v>86.734088400000005</v>
      </c>
    </row>
    <row r="255" spans="1:2" x14ac:dyDescent="0.25">
      <c r="A255" s="124" t="s">
        <v>3623</v>
      </c>
      <c r="B255" s="203">
        <v>86.48814204</v>
      </c>
    </row>
    <row r="256" spans="1:2" x14ac:dyDescent="0.25">
      <c r="A256" s="124" t="s">
        <v>1179</v>
      </c>
      <c r="B256" s="203">
        <v>86.186665430000005</v>
      </c>
    </row>
    <row r="257" spans="1:2" x14ac:dyDescent="0.25">
      <c r="A257" s="124" t="s">
        <v>1191</v>
      </c>
      <c r="B257" s="203">
        <v>84.933720010000002</v>
      </c>
    </row>
    <row r="258" spans="1:2" x14ac:dyDescent="0.25">
      <c r="A258" s="124" t="s">
        <v>3624</v>
      </c>
      <c r="B258" s="203">
        <v>83.560529560000006</v>
      </c>
    </row>
    <row r="259" spans="1:2" x14ac:dyDescent="0.25">
      <c r="A259" s="124" t="s">
        <v>3625</v>
      </c>
      <c r="B259" s="203">
        <v>83.452684579999996</v>
      </c>
    </row>
    <row r="260" spans="1:2" x14ac:dyDescent="0.25">
      <c r="A260" s="124" t="s">
        <v>1170</v>
      </c>
      <c r="B260" s="203">
        <v>83.436611020000001</v>
      </c>
    </row>
    <row r="261" spans="1:2" x14ac:dyDescent="0.25">
      <c r="A261" s="124" t="s">
        <v>1194</v>
      </c>
      <c r="B261" s="203">
        <v>80.229512720000002</v>
      </c>
    </row>
    <row r="262" spans="1:2" x14ac:dyDescent="0.25">
      <c r="A262" s="124" t="s">
        <v>1090</v>
      </c>
      <c r="B262" s="203">
        <v>79.971251460000005</v>
      </c>
    </row>
    <row r="263" spans="1:2" x14ac:dyDescent="0.25">
      <c r="A263" s="124" t="s">
        <v>1151</v>
      </c>
      <c r="B263" s="203">
        <v>79.868660840000004</v>
      </c>
    </row>
    <row r="264" spans="1:2" x14ac:dyDescent="0.25">
      <c r="A264" s="124" t="s">
        <v>1182</v>
      </c>
      <c r="B264" s="203">
        <v>78.653537249999999</v>
      </c>
    </row>
    <row r="265" spans="1:2" x14ac:dyDescent="0.25">
      <c r="A265" s="124" t="s">
        <v>3122</v>
      </c>
      <c r="B265" s="203">
        <v>77.895029199999996</v>
      </c>
    </row>
    <row r="266" spans="1:2" x14ac:dyDescent="0.25">
      <c r="A266" s="124" t="s">
        <v>1087</v>
      </c>
      <c r="B266" s="203">
        <v>75.464336450000005</v>
      </c>
    </row>
    <row r="267" spans="1:2" x14ac:dyDescent="0.25">
      <c r="A267" s="124" t="s">
        <v>1132</v>
      </c>
      <c r="B267" s="203">
        <v>74.318065070000003</v>
      </c>
    </row>
    <row r="268" spans="1:2" x14ac:dyDescent="0.25">
      <c r="A268" s="124" t="s">
        <v>1175</v>
      </c>
      <c r="B268" s="203">
        <v>72.816892089999996</v>
      </c>
    </row>
    <row r="269" spans="1:2" x14ac:dyDescent="0.25">
      <c r="A269" s="124" t="s">
        <v>3626</v>
      </c>
      <c r="B269" s="203">
        <v>70.632836920000003</v>
      </c>
    </row>
    <row r="270" spans="1:2" x14ac:dyDescent="0.25">
      <c r="A270" s="124" t="s">
        <v>3627</v>
      </c>
      <c r="B270" s="203">
        <v>70.200563399999993</v>
      </c>
    </row>
    <row r="271" spans="1:2" x14ac:dyDescent="0.25">
      <c r="A271" s="124" t="s">
        <v>3628</v>
      </c>
      <c r="B271" s="203">
        <v>68.290326660000005</v>
      </c>
    </row>
    <row r="272" spans="1:2" x14ac:dyDescent="0.25">
      <c r="A272" s="124" t="s">
        <v>3629</v>
      </c>
      <c r="B272" s="203">
        <v>67.390895090000001</v>
      </c>
    </row>
    <row r="273" spans="1:2" x14ac:dyDescent="0.25">
      <c r="A273" s="124" t="s">
        <v>3630</v>
      </c>
      <c r="B273" s="203">
        <v>63.731949120000003</v>
      </c>
    </row>
    <row r="274" spans="1:2" x14ac:dyDescent="0.25">
      <c r="A274" s="124" t="s">
        <v>1134</v>
      </c>
      <c r="B274" s="203">
        <v>61.43823364</v>
      </c>
    </row>
    <row r="275" spans="1:2" x14ac:dyDescent="0.25">
      <c r="A275" s="124" t="s">
        <v>3631</v>
      </c>
      <c r="B275" s="203">
        <v>59.833169460000001</v>
      </c>
    </row>
    <row r="276" spans="1:2" x14ac:dyDescent="0.25">
      <c r="A276" s="124" t="s">
        <v>1035</v>
      </c>
      <c r="B276" s="203">
        <v>59.661625409999999</v>
      </c>
    </row>
    <row r="277" spans="1:2" x14ac:dyDescent="0.25">
      <c r="A277" s="204" t="s">
        <v>1224</v>
      </c>
      <c r="B277" s="203">
        <v>58.901870279999997</v>
      </c>
    </row>
    <row r="278" spans="1:2" x14ac:dyDescent="0.25">
      <c r="A278" s="124" t="s">
        <v>3632</v>
      </c>
      <c r="B278" s="203">
        <v>58.853125640000002</v>
      </c>
    </row>
    <row r="279" spans="1:2" x14ac:dyDescent="0.25">
      <c r="A279" s="124" t="s">
        <v>3633</v>
      </c>
      <c r="B279" s="203">
        <v>58.274218699999999</v>
      </c>
    </row>
    <row r="280" spans="1:2" x14ac:dyDescent="0.25">
      <c r="A280" s="124" t="s">
        <v>3634</v>
      </c>
      <c r="B280" s="203">
        <v>56.86888604</v>
      </c>
    </row>
    <row r="281" spans="1:2" x14ac:dyDescent="0.25">
      <c r="A281" s="124" t="s">
        <v>3121</v>
      </c>
      <c r="B281" s="203">
        <v>56.040067929999999</v>
      </c>
    </row>
    <row r="282" spans="1:2" x14ac:dyDescent="0.25">
      <c r="A282" s="124" t="s">
        <v>1080</v>
      </c>
      <c r="B282" s="203">
        <v>55.358364639999998</v>
      </c>
    </row>
    <row r="283" spans="1:2" x14ac:dyDescent="0.25">
      <c r="A283" s="124" t="s">
        <v>3635</v>
      </c>
      <c r="B283" s="203">
        <v>55.228615480000002</v>
      </c>
    </row>
    <row r="284" spans="1:2" x14ac:dyDescent="0.25">
      <c r="A284" s="124" t="s">
        <v>1072</v>
      </c>
      <c r="B284" s="203">
        <v>54.688505630000002</v>
      </c>
    </row>
    <row r="285" spans="1:2" x14ac:dyDescent="0.25">
      <c r="A285" s="124" t="s">
        <v>1143</v>
      </c>
      <c r="B285" s="203">
        <v>52.101323579999999</v>
      </c>
    </row>
    <row r="286" spans="1:2" x14ac:dyDescent="0.25">
      <c r="A286" s="124" t="s">
        <v>1164</v>
      </c>
      <c r="B286" s="203">
        <v>49.494240929999997</v>
      </c>
    </row>
    <row r="287" spans="1:2" x14ac:dyDescent="0.25">
      <c r="A287" s="124" t="s">
        <v>1097</v>
      </c>
      <c r="B287" s="203">
        <v>48.966029650000003</v>
      </c>
    </row>
    <row r="288" spans="1:2" x14ac:dyDescent="0.25">
      <c r="A288" s="124" t="s">
        <v>1173</v>
      </c>
      <c r="B288" s="203">
        <v>48.499745689999997</v>
      </c>
    </row>
    <row r="289" spans="1:2" x14ac:dyDescent="0.25">
      <c r="A289" s="124" t="s">
        <v>1052</v>
      </c>
      <c r="B289" s="203">
        <v>45.038311839999999</v>
      </c>
    </row>
    <row r="290" spans="1:2" x14ac:dyDescent="0.25">
      <c r="A290" s="124" t="s">
        <v>1199</v>
      </c>
      <c r="B290" s="203">
        <v>44.512526829999999</v>
      </c>
    </row>
    <row r="291" spans="1:2" x14ac:dyDescent="0.25">
      <c r="A291" s="124" t="s">
        <v>1220</v>
      </c>
      <c r="B291" s="203">
        <v>43.776299029999997</v>
      </c>
    </row>
    <row r="292" spans="1:2" x14ac:dyDescent="0.25">
      <c r="A292" s="124" t="s">
        <v>1062</v>
      </c>
      <c r="B292" s="203">
        <v>41.988447149999999</v>
      </c>
    </row>
    <row r="293" spans="1:2" x14ac:dyDescent="0.25">
      <c r="A293" s="124" t="s">
        <v>1171</v>
      </c>
      <c r="B293" s="203">
        <v>41.712370759999999</v>
      </c>
    </row>
    <row r="294" spans="1:2" x14ac:dyDescent="0.25">
      <c r="A294" s="124" t="s">
        <v>1085</v>
      </c>
      <c r="B294" s="203">
        <v>41.288485399999999</v>
      </c>
    </row>
    <row r="295" spans="1:2" x14ac:dyDescent="0.25">
      <c r="A295" s="124" t="s">
        <v>3636</v>
      </c>
      <c r="B295" s="203">
        <v>41.225566559999997</v>
      </c>
    </row>
    <row r="296" spans="1:2" x14ac:dyDescent="0.25">
      <c r="A296" s="124" t="s">
        <v>1184</v>
      </c>
      <c r="B296" s="203">
        <v>38.62989245</v>
      </c>
    </row>
    <row r="297" spans="1:2" x14ac:dyDescent="0.25">
      <c r="A297" s="124" t="s">
        <v>3637</v>
      </c>
      <c r="B297" s="203">
        <v>38.249284090000003</v>
      </c>
    </row>
    <row r="298" spans="1:2" x14ac:dyDescent="0.25">
      <c r="A298" s="124" t="s">
        <v>1042</v>
      </c>
      <c r="B298" s="203">
        <v>37.567339330000003</v>
      </c>
    </row>
    <row r="299" spans="1:2" x14ac:dyDescent="0.25">
      <c r="A299" s="124" t="s">
        <v>1210</v>
      </c>
      <c r="B299" s="203">
        <v>35.629612989999998</v>
      </c>
    </row>
    <row r="300" spans="1:2" x14ac:dyDescent="0.25">
      <c r="A300" s="124" t="s">
        <v>3638</v>
      </c>
      <c r="B300" s="203">
        <v>34.716547769999998</v>
      </c>
    </row>
    <row r="301" spans="1:2" x14ac:dyDescent="0.25">
      <c r="A301" s="124" t="s">
        <v>3639</v>
      </c>
      <c r="B301" s="203">
        <v>34.419675810000001</v>
      </c>
    </row>
    <row r="302" spans="1:2" x14ac:dyDescent="0.25">
      <c r="A302" s="124" t="s">
        <v>1078</v>
      </c>
      <c r="B302" s="203">
        <v>32.529125999999998</v>
      </c>
    </row>
    <row r="303" spans="1:2" x14ac:dyDescent="0.25">
      <c r="A303" s="124" t="s">
        <v>1205</v>
      </c>
      <c r="B303" s="203">
        <v>32.089575480000001</v>
      </c>
    </row>
    <row r="304" spans="1:2" x14ac:dyDescent="0.25">
      <c r="A304" s="124" t="s">
        <v>3640</v>
      </c>
      <c r="B304" s="203">
        <v>31.945916400000002</v>
      </c>
    </row>
    <row r="305" spans="1:2" x14ac:dyDescent="0.25">
      <c r="A305" s="124" t="s">
        <v>3641</v>
      </c>
      <c r="B305" s="203">
        <v>31.63775506</v>
      </c>
    </row>
    <row r="306" spans="1:2" x14ac:dyDescent="0.25">
      <c r="A306" s="124" t="s">
        <v>3642</v>
      </c>
      <c r="B306" s="203">
        <v>31.340477839999998</v>
      </c>
    </row>
    <row r="307" spans="1:2" x14ac:dyDescent="0.25">
      <c r="A307" s="124" t="s">
        <v>1168</v>
      </c>
      <c r="B307" s="176">
        <v>30.556239080000001</v>
      </c>
    </row>
    <row r="308" spans="1:2" x14ac:dyDescent="0.25">
      <c r="A308" s="124" t="s">
        <v>3643</v>
      </c>
      <c r="B308" s="203">
        <v>29.655450909999999</v>
      </c>
    </row>
    <row r="309" spans="1:2" x14ac:dyDescent="0.25">
      <c r="A309" s="124" t="s">
        <v>1101</v>
      </c>
      <c r="B309" s="203">
        <v>28.97536586</v>
      </c>
    </row>
    <row r="310" spans="1:2" x14ac:dyDescent="0.25">
      <c r="A310" s="124" t="s">
        <v>1186</v>
      </c>
      <c r="B310" s="203">
        <v>28.398070109999999</v>
      </c>
    </row>
    <row r="311" spans="1:2" x14ac:dyDescent="0.25">
      <c r="A311" s="124" t="s">
        <v>1036</v>
      </c>
      <c r="B311" s="203">
        <v>28.278279430000001</v>
      </c>
    </row>
    <row r="312" spans="1:2" x14ac:dyDescent="0.25">
      <c r="A312" s="124" t="s">
        <v>1174</v>
      </c>
      <c r="B312" s="203">
        <v>28.022661020000001</v>
      </c>
    </row>
    <row r="313" spans="1:2" x14ac:dyDescent="0.25">
      <c r="A313" s="124" t="s">
        <v>3644</v>
      </c>
      <c r="B313" s="203">
        <v>27.985112300000001</v>
      </c>
    </row>
    <row r="314" spans="1:2" x14ac:dyDescent="0.25">
      <c r="A314" s="124" t="s">
        <v>1156</v>
      </c>
      <c r="B314" s="203">
        <v>27.338453900000001</v>
      </c>
    </row>
    <row r="315" spans="1:2" x14ac:dyDescent="0.25">
      <c r="A315" s="124" t="s">
        <v>1159</v>
      </c>
      <c r="B315" s="203">
        <v>26.925453610000002</v>
      </c>
    </row>
    <row r="316" spans="1:2" x14ac:dyDescent="0.25">
      <c r="A316" s="124" t="s">
        <v>3645</v>
      </c>
      <c r="B316" s="203">
        <v>26.716855800000001</v>
      </c>
    </row>
    <row r="317" spans="1:2" x14ac:dyDescent="0.25">
      <c r="A317" s="124" t="s">
        <v>1212</v>
      </c>
      <c r="B317" s="203">
        <v>26.131685390000001</v>
      </c>
    </row>
    <row r="318" spans="1:2" x14ac:dyDescent="0.25">
      <c r="A318" s="124" t="s">
        <v>1140</v>
      </c>
      <c r="B318" s="203">
        <v>25.957929190000002</v>
      </c>
    </row>
    <row r="319" spans="1:2" x14ac:dyDescent="0.25">
      <c r="A319" s="124" t="s">
        <v>3646</v>
      </c>
      <c r="B319" s="203">
        <v>24.902804140000001</v>
      </c>
    </row>
    <row r="320" spans="1:2" x14ac:dyDescent="0.25">
      <c r="A320" s="124" t="s">
        <v>1187</v>
      </c>
      <c r="B320" s="203">
        <v>24.546719700000001</v>
      </c>
    </row>
    <row r="321" spans="1:2" x14ac:dyDescent="0.25">
      <c r="A321" s="124" t="s">
        <v>1183</v>
      </c>
      <c r="B321" s="203">
        <v>24.394809290000001</v>
      </c>
    </row>
    <row r="322" spans="1:2" x14ac:dyDescent="0.25">
      <c r="A322" s="124" t="s">
        <v>1079</v>
      </c>
      <c r="B322" s="203">
        <v>24.044623789999999</v>
      </c>
    </row>
    <row r="323" spans="1:2" x14ac:dyDescent="0.25">
      <c r="A323" s="124" t="s">
        <v>1209</v>
      </c>
      <c r="B323" s="203">
        <v>23.981316880000001</v>
      </c>
    </row>
    <row r="324" spans="1:2" x14ac:dyDescent="0.25">
      <c r="A324" s="124" t="s">
        <v>3647</v>
      </c>
      <c r="B324" s="176">
        <v>23.954535920000001</v>
      </c>
    </row>
    <row r="325" spans="1:2" x14ac:dyDescent="0.25">
      <c r="A325" s="124" t="s">
        <v>3648</v>
      </c>
      <c r="B325" s="176">
        <v>23.833235210000002</v>
      </c>
    </row>
    <row r="326" spans="1:2" x14ac:dyDescent="0.25">
      <c r="A326" s="124" t="s">
        <v>3649</v>
      </c>
      <c r="B326" s="176">
        <v>23.732742989999998</v>
      </c>
    </row>
    <row r="327" spans="1:2" x14ac:dyDescent="0.25">
      <c r="A327" s="124" t="s">
        <v>442</v>
      </c>
      <c r="B327" s="176">
        <v>23.694109579999999</v>
      </c>
    </row>
    <row r="328" spans="1:2" x14ac:dyDescent="0.25">
      <c r="A328" s="124" t="s">
        <v>3650</v>
      </c>
      <c r="B328" s="203">
        <v>23.394628300000001</v>
      </c>
    </row>
    <row r="329" spans="1:2" x14ac:dyDescent="0.25">
      <c r="A329" s="124" t="s">
        <v>3651</v>
      </c>
      <c r="B329" s="203">
        <v>23.235401570000001</v>
      </c>
    </row>
    <row r="330" spans="1:2" x14ac:dyDescent="0.25">
      <c r="A330" s="124" t="s">
        <v>1114</v>
      </c>
      <c r="B330" s="203">
        <v>22.933282670000001</v>
      </c>
    </row>
    <row r="331" spans="1:2" x14ac:dyDescent="0.25">
      <c r="A331" s="124" t="s">
        <v>3652</v>
      </c>
      <c r="B331" s="203">
        <v>22.743869360000001</v>
      </c>
    </row>
    <row r="332" spans="1:2" x14ac:dyDescent="0.25">
      <c r="A332" s="124" t="s">
        <v>1129</v>
      </c>
      <c r="B332" s="203">
        <v>22.511494720000002</v>
      </c>
    </row>
    <row r="333" spans="1:2" x14ac:dyDescent="0.25">
      <c r="A333" s="124" t="s">
        <v>1226</v>
      </c>
      <c r="B333" s="203">
        <v>21.9094178</v>
      </c>
    </row>
    <row r="334" spans="1:2" x14ac:dyDescent="0.25">
      <c r="A334" s="124" t="s">
        <v>1206</v>
      </c>
      <c r="B334" s="176">
        <v>21.898723969999999</v>
      </c>
    </row>
    <row r="335" spans="1:2" x14ac:dyDescent="0.25">
      <c r="A335" s="124" t="s">
        <v>3653</v>
      </c>
      <c r="B335" s="203">
        <v>21.609774139999999</v>
      </c>
    </row>
    <row r="336" spans="1:2" x14ac:dyDescent="0.25">
      <c r="A336" s="124" t="s">
        <v>3654</v>
      </c>
      <c r="B336" s="203">
        <v>21.473025960000001</v>
      </c>
    </row>
    <row r="337" spans="1:2" x14ac:dyDescent="0.25">
      <c r="A337" s="124" t="s">
        <v>3655</v>
      </c>
      <c r="B337" s="203">
        <v>20.907617089999999</v>
      </c>
    </row>
    <row r="338" spans="1:2" x14ac:dyDescent="0.25">
      <c r="A338" s="124" t="s">
        <v>3656</v>
      </c>
      <c r="B338" s="203">
        <v>20.501689259999999</v>
      </c>
    </row>
    <row r="339" spans="1:2" x14ac:dyDescent="0.25">
      <c r="A339" s="124" t="s">
        <v>3657</v>
      </c>
      <c r="B339" s="203">
        <v>20.378595489999999</v>
      </c>
    </row>
    <row r="340" spans="1:2" x14ac:dyDescent="0.25">
      <c r="A340" s="124" t="s">
        <v>3658</v>
      </c>
      <c r="B340" s="203">
        <v>20.18407775</v>
      </c>
    </row>
    <row r="341" spans="1:2" x14ac:dyDescent="0.25">
      <c r="A341" s="124" t="s">
        <v>3659</v>
      </c>
      <c r="B341" s="203">
        <v>19.756199179999999</v>
      </c>
    </row>
    <row r="342" spans="1:2" x14ac:dyDescent="0.25">
      <c r="A342" s="124" t="s">
        <v>1169</v>
      </c>
      <c r="B342" s="203">
        <v>19.438246249999999</v>
      </c>
    </row>
    <row r="343" spans="1:2" x14ac:dyDescent="0.25">
      <c r="A343" s="124" t="s">
        <v>1218</v>
      </c>
      <c r="B343" s="203">
        <v>19.05264596</v>
      </c>
    </row>
    <row r="344" spans="1:2" x14ac:dyDescent="0.25">
      <c r="A344" s="124" t="s">
        <v>3660</v>
      </c>
      <c r="B344" s="203">
        <v>18.674555160000001</v>
      </c>
    </row>
    <row r="345" spans="1:2" x14ac:dyDescent="0.25">
      <c r="A345" s="124" t="s">
        <v>3661</v>
      </c>
      <c r="B345" s="203">
        <v>18.392091390000001</v>
      </c>
    </row>
    <row r="346" spans="1:2" x14ac:dyDescent="0.25">
      <c r="A346" s="124" t="s">
        <v>3662</v>
      </c>
      <c r="B346" s="203">
        <v>18.361386079999999</v>
      </c>
    </row>
    <row r="347" spans="1:2" x14ac:dyDescent="0.25">
      <c r="A347" s="124" t="s">
        <v>3663</v>
      </c>
      <c r="B347" s="203">
        <v>18.264738860000001</v>
      </c>
    </row>
    <row r="348" spans="1:2" x14ac:dyDescent="0.25">
      <c r="A348" s="124" t="s">
        <v>3664</v>
      </c>
      <c r="B348" s="203">
        <v>18.096372079999998</v>
      </c>
    </row>
    <row r="349" spans="1:2" x14ac:dyDescent="0.25">
      <c r="A349" s="124" t="s">
        <v>1228</v>
      </c>
      <c r="B349" s="203">
        <v>17.8165674</v>
      </c>
    </row>
    <row r="350" spans="1:2" x14ac:dyDescent="0.25">
      <c r="A350" s="124" t="s">
        <v>3665</v>
      </c>
      <c r="B350" s="203">
        <v>17.810423400000001</v>
      </c>
    </row>
    <row r="351" spans="1:2" x14ac:dyDescent="0.25">
      <c r="A351" s="124" t="s">
        <v>3666</v>
      </c>
      <c r="B351" s="203">
        <v>17.419033819999999</v>
      </c>
    </row>
    <row r="352" spans="1:2" x14ac:dyDescent="0.25">
      <c r="A352" s="124" t="s">
        <v>3667</v>
      </c>
      <c r="B352" s="203">
        <v>17.30828477</v>
      </c>
    </row>
    <row r="353" spans="1:2" x14ac:dyDescent="0.25">
      <c r="A353" s="124" t="s">
        <v>3668</v>
      </c>
      <c r="B353" s="203">
        <v>16.947728990000002</v>
      </c>
    </row>
    <row r="354" spans="1:2" x14ac:dyDescent="0.25">
      <c r="A354" s="124" t="s">
        <v>1195</v>
      </c>
      <c r="B354" s="203">
        <v>16.935619259999999</v>
      </c>
    </row>
    <row r="355" spans="1:2" x14ac:dyDescent="0.25">
      <c r="A355" s="124" t="s">
        <v>1217</v>
      </c>
      <c r="B355" s="203">
        <v>16.507908570000001</v>
      </c>
    </row>
    <row r="356" spans="1:2" x14ac:dyDescent="0.25">
      <c r="A356" s="124" t="s">
        <v>1216</v>
      </c>
      <c r="B356" s="203">
        <v>16.26481119</v>
      </c>
    </row>
    <row r="357" spans="1:2" x14ac:dyDescent="0.25">
      <c r="A357" s="204" t="s">
        <v>3669</v>
      </c>
      <c r="B357" s="203">
        <v>15.829533169999999</v>
      </c>
    </row>
    <row r="358" spans="1:2" x14ac:dyDescent="0.25">
      <c r="A358" s="124" t="s">
        <v>3670</v>
      </c>
      <c r="B358" s="203">
        <v>15.48219274</v>
      </c>
    </row>
    <row r="359" spans="1:2" x14ac:dyDescent="0.25">
      <c r="A359" s="124" t="s">
        <v>3671</v>
      </c>
      <c r="B359" s="203">
        <v>15.370339749999999</v>
      </c>
    </row>
    <row r="360" spans="1:2" x14ac:dyDescent="0.25">
      <c r="A360" s="124" t="s">
        <v>1162</v>
      </c>
      <c r="B360" s="203">
        <v>15.08212134</v>
      </c>
    </row>
    <row r="361" spans="1:2" x14ac:dyDescent="0.25">
      <c r="A361" s="124" t="s">
        <v>1227</v>
      </c>
      <c r="B361" s="203">
        <v>14.612497640000001</v>
      </c>
    </row>
    <row r="362" spans="1:2" x14ac:dyDescent="0.25">
      <c r="A362" s="124" t="s">
        <v>3672</v>
      </c>
      <c r="B362" s="203">
        <v>14.58237879</v>
      </c>
    </row>
    <row r="363" spans="1:2" x14ac:dyDescent="0.25">
      <c r="A363" s="124" t="s">
        <v>3673</v>
      </c>
      <c r="B363" s="203">
        <v>14.505230859999999</v>
      </c>
    </row>
    <row r="364" spans="1:2" x14ac:dyDescent="0.25">
      <c r="A364" s="124" t="s">
        <v>1188</v>
      </c>
      <c r="B364" s="203">
        <v>14.280525389999999</v>
      </c>
    </row>
    <row r="365" spans="1:2" x14ac:dyDescent="0.25">
      <c r="A365" s="124" t="s">
        <v>3674</v>
      </c>
      <c r="B365" s="203">
        <v>14.120293650000001</v>
      </c>
    </row>
    <row r="366" spans="1:2" x14ac:dyDescent="0.25">
      <c r="A366" s="124" t="s">
        <v>3675</v>
      </c>
      <c r="B366" s="203">
        <v>13.907644960000001</v>
      </c>
    </row>
    <row r="367" spans="1:2" x14ac:dyDescent="0.25">
      <c r="A367" s="124" t="s">
        <v>3676</v>
      </c>
      <c r="B367" s="203">
        <v>13.80167954</v>
      </c>
    </row>
    <row r="368" spans="1:2" x14ac:dyDescent="0.25">
      <c r="A368" s="124" t="s">
        <v>3677</v>
      </c>
      <c r="B368" s="203">
        <v>13.751762449999999</v>
      </c>
    </row>
    <row r="369" spans="1:2" x14ac:dyDescent="0.25">
      <c r="A369" s="124" t="s">
        <v>3678</v>
      </c>
      <c r="B369" s="203">
        <v>13.62279137</v>
      </c>
    </row>
    <row r="370" spans="1:2" x14ac:dyDescent="0.25">
      <c r="A370" s="124" t="s">
        <v>3486</v>
      </c>
      <c r="B370" s="203">
        <v>13.25337577</v>
      </c>
    </row>
    <row r="371" spans="1:2" x14ac:dyDescent="0.25">
      <c r="A371" s="124" t="s">
        <v>3679</v>
      </c>
      <c r="B371" s="203">
        <v>12.682989109999999</v>
      </c>
    </row>
    <row r="372" spans="1:2" x14ac:dyDescent="0.25">
      <c r="A372" s="124" t="s">
        <v>1160</v>
      </c>
      <c r="B372" s="203">
        <v>12.356812379999999</v>
      </c>
    </row>
    <row r="373" spans="1:2" x14ac:dyDescent="0.25">
      <c r="A373" s="124" t="s">
        <v>3680</v>
      </c>
      <c r="B373" s="203">
        <v>12.335900349999999</v>
      </c>
    </row>
    <row r="374" spans="1:2" x14ac:dyDescent="0.25">
      <c r="A374" s="124" t="s">
        <v>3681</v>
      </c>
      <c r="B374" s="203">
        <v>12.210705190000001</v>
      </c>
    </row>
    <row r="375" spans="1:2" x14ac:dyDescent="0.25">
      <c r="A375" s="124" t="s">
        <v>3682</v>
      </c>
      <c r="B375" s="203">
        <v>11.95995619</v>
      </c>
    </row>
    <row r="376" spans="1:2" x14ac:dyDescent="0.25">
      <c r="A376" s="124" t="s">
        <v>3683</v>
      </c>
      <c r="B376" s="203">
        <v>11.74903329</v>
      </c>
    </row>
    <row r="377" spans="1:2" x14ac:dyDescent="0.25">
      <c r="A377" s="124" t="s">
        <v>3684</v>
      </c>
      <c r="B377" s="203">
        <v>11.459860150000001</v>
      </c>
    </row>
    <row r="378" spans="1:2" x14ac:dyDescent="0.25">
      <c r="A378" s="124" t="s">
        <v>3685</v>
      </c>
      <c r="B378" s="203">
        <v>11.446260179999999</v>
      </c>
    </row>
    <row r="379" spans="1:2" x14ac:dyDescent="0.25">
      <c r="A379" s="124" t="s">
        <v>3686</v>
      </c>
      <c r="B379" s="203">
        <v>11.06961495</v>
      </c>
    </row>
    <row r="380" spans="1:2" x14ac:dyDescent="0.25">
      <c r="A380" s="124" t="s">
        <v>3483</v>
      </c>
      <c r="B380" s="203">
        <v>10.73529252</v>
      </c>
    </row>
    <row r="381" spans="1:2" x14ac:dyDescent="0.25">
      <c r="A381" s="124" t="s">
        <v>1117</v>
      </c>
      <c r="B381" s="203">
        <v>10.64961162</v>
      </c>
    </row>
    <row r="382" spans="1:2" x14ac:dyDescent="0.25">
      <c r="A382" s="124" t="s">
        <v>1166</v>
      </c>
      <c r="B382" s="203">
        <v>10.64610298</v>
      </c>
    </row>
    <row r="383" spans="1:2" x14ac:dyDescent="0.25">
      <c r="A383" s="124" t="s">
        <v>3687</v>
      </c>
      <c r="B383" s="203">
        <v>10.619506919999999</v>
      </c>
    </row>
    <row r="384" spans="1:2" x14ac:dyDescent="0.25">
      <c r="A384" s="124" t="s">
        <v>3688</v>
      </c>
      <c r="B384" s="203">
        <v>10.58919981</v>
      </c>
    </row>
    <row r="385" spans="1:2" x14ac:dyDescent="0.25">
      <c r="A385" s="124" t="s">
        <v>3689</v>
      </c>
      <c r="B385" s="203">
        <v>10.51020975</v>
      </c>
    </row>
    <row r="386" spans="1:2" x14ac:dyDescent="0.25">
      <c r="A386" s="124" t="s">
        <v>3120</v>
      </c>
      <c r="B386" s="203">
        <v>10.17739291</v>
      </c>
    </row>
    <row r="387" spans="1:2" x14ac:dyDescent="0.25">
      <c r="A387" s="124" t="s">
        <v>3690</v>
      </c>
      <c r="B387" s="203">
        <v>10.15427055</v>
      </c>
    </row>
    <row r="388" spans="1:2" x14ac:dyDescent="0.25">
      <c r="A388" s="124" t="s">
        <v>1196</v>
      </c>
      <c r="B388" s="203">
        <v>10.096239819999999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3"/>
  <sheetViews>
    <sheetView workbookViewId="0">
      <selection activeCell="A2" sqref="A2"/>
    </sheetView>
  </sheetViews>
  <sheetFormatPr defaultRowHeight="15" x14ac:dyDescent="0.25"/>
  <sheetData>
    <row r="1" spans="1:16" x14ac:dyDescent="0.25">
      <c r="A1" s="104" t="s">
        <v>3763</v>
      </c>
    </row>
    <row r="2" spans="1:16" x14ac:dyDescent="0.25">
      <c r="A2" t="s">
        <v>1229</v>
      </c>
      <c r="B2" t="s">
        <v>1230</v>
      </c>
      <c r="C2" t="s">
        <v>3115</v>
      </c>
      <c r="D2" t="s">
        <v>1231</v>
      </c>
      <c r="E2" t="s">
        <v>1232</v>
      </c>
      <c r="F2" t="s">
        <v>1233</v>
      </c>
      <c r="G2" t="s">
        <v>1234</v>
      </c>
      <c r="H2" t="s">
        <v>1235</v>
      </c>
      <c r="I2" t="s">
        <v>1236</v>
      </c>
      <c r="J2" t="s">
        <v>1237</v>
      </c>
      <c r="K2" t="s">
        <v>1238</v>
      </c>
      <c r="L2" t="s">
        <v>1239</v>
      </c>
      <c r="M2" t="s">
        <v>1240</v>
      </c>
      <c r="P2" s="156"/>
    </row>
    <row r="3" spans="1:16" x14ac:dyDescent="0.25">
      <c r="A3" t="s">
        <v>1241</v>
      </c>
      <c r="B3" t="s">
        <v>1242</v>
      </c>
      <c r="C3" t="s">
        <v>1242</v>
      </c>
      <c r="D3" t="s">
        <v>1243</v>
      </c>
      <c r="E3" t="s">
        <v>1243</v>
      </c>
      <c r="F3" t="s">
        <v>818</v>
      </c>
      <c r="G3" t="s">
        <v>1244</v>
      </c>
      <c r="H3" t="s">
        <v>1245</v>
      </c>
      <c r="I3" t="s">
        <v>1246</v>
      </c>
      <c r="J3" t="s">
        <v>1247</v>
      </c>
      <c r="K3" t="s">
        <v>1248</v>
      </c>
      <c r="L3" t="s">
        <v>1249</v>
      </c>
      <c r="M3" t="s">
        <v>1250</v>
      </c>
    </row>
    <row r="4" spans="1:16" x14ac:dyDescent="0.25">
      <c r="A4" t="s">
        <v>1251</v>
      </c>
      <c r="B4" t="s">
        <v>1252</v>
      </c>
      <c r="C4" t="s">
        <v>1253</v>
      </c>
      <c r="D4" t="s">
        <v>1254</v>
      </c>
      <c r="E4" t="s">
        <v>1254</v>
      </c>
      <c r="F4" t="s">
        <v>1255</v>
      </c>
      <c r="G4" t="s">
        <v>1256</v>
      </c>
      <c r="H4" t="s">
        <v>1250</v>
      </c>
      <c r="I4" t="s">
        <v>1257</v>
      </c>
      <c r="J4" t="s">
        <v>1258</v>
      </c>
      <c r="K4" t="s">
        <v>1259</v>
      </c>
      <c r="L4" t="s">
        <v>1260</v>
      </c>
      <c r="M4" t="s">
        <v>1242</v>
      </c>
    </row>
    <row r="5" spans="1:16" x14ac:dyDescent="0.25">
      <c r="A5" t="s">
        <v>1261</v>
      </c>
      <c r="B5" t="s">
        <v>1243</v>
      </c>
      <c r="C5" t="s">
        <v>1262</v>
      </c>
      <c r="D5" t="s">
        <v>1263</v>
      </c>
      <c r="E5" t="s">
        <v>1263</v>
      </c>
      <c r="F5" t="s">
        <v>1264</v>
      </c>
      <c r="G5" t="s">
        <v>1265</v>
      </c>
      <c r="H5" t="s">
        <v>1242</v>
      </c>
      <c r="I5" t="s">
        <v>1266</v>
      </c>
      <c r="J5" t="s">
        <v>826</v>
      </c>
      <c r="K5" t="s">
        <v>1267</v>
      </c>
      <c r="L5" t="s">
        <v>1268</v>
      </c>
      <c r="M5" t="s">
        <v>1269</v>
      </c>
    </row>
    <row r="6" spans="1:16" x14ac:dyDescent="0.25">
      <c r="A6" t="s">
        <v>1261</v>
      </c>
      <c r="B6" t="s">
        <v>1270</v>
      </c>
      <c r="C6" t="s">
        <v>18</v>
      </c>
      <c r="D6" t="s">
        <v>1271</v>
      </c>
      <c r="E6" t="s">
        <v>1271</v>
      </c>
      <c r="F6" t="s">
        <v>670</v>
      </c>
      <c r="G6" t="s">
        <v>1272</v>
      </c>
      <c r="H6" t="s">
        <v>1273</v>
      </c>
      <c r="I6" t="s">
        <v>1274</v>
      </c>
      <c r="J6" t="s">
        <v>1275</v>
      </c>
      <c r="K6" t="s">
        <v>1276</v>
      </c>
      <c r="L6" t="s">
        <v>1277</v>
      </c>
      <c r="M6" t="s">
        <v>1278</v>
      </c>
    </row>
    <row r="7" spans="1:16" x14ac:dyDescent="0.25">
      <c r="A7" t="s">
        <v>1279</v>
      </c>
      <c r="B7" t="s">
        <v>1253</v>
      </c>
      <c r="C7" t="s">
        <v>19</v>
      </c>
      <c r="D7" t="s">
        <v>1280</v>
      </c>
      <c r="E7" t="s">
        <v>1280</v>
      </c>
      <c r="F7" t="s">
        <v>1281</v>
      </c>
      <c r="G7" t="s">
        <v>1282</v>
      </c>
      <c r="H7" t="s">
        <v>1252</v>
      </c>
      <c r="I7" t="s">
        <v>1283</v>
      </c>
      <c r="J7" t="s">
        <v>1284</v>
      </c>
      <c r="K7" t="s">
        <v>1285</v>
      </c>
      <c r="L7" t="s">
        <v>1286</v>
      </c>
      <c r="M7" t="s">
        <v>1287</v>
      </c>
    </row>
    <row r="8" spans="1:16" x14ac:dyDescent="0.25">
      <c r="A8" t="s">
        <v>1288</v>
      </c>
      <c r="B8" t="s">
        <v>1262</v>
      </c>
      <c r="C8" t="s">
        <v>816</v>
      </c>
      <c r="D8" t="s">
        <v>1289</v>
      </c>
      <c r="E8" t="s">
        <v>1289</v>
      </c>
      <c r="F8" t="s">
        <v>1290</v>
      </c>
      <c r="G8" t="s">
        <v>1291</v>
      </c>
      <c r="H8" t="s">
        <v>1270</v>
      </c>
      <c r="I8" t="s">
        <v>1292</v>
      </c>
      <c r="J8" t="s">
        <v>1293</v>
      </c>
      <c r="K8" t="s">
        <v>1294</v>
      </c>
      <c r="L8" t="s">
        <v>1295</v>
      </c>
      <c r="M8" t="s">
        <v>1296</v>
      </c>
    </row>
    <row r="9" spans="1:16" x14ac:dyDescent="0.25">
      <c r="A9" t="s">
        <v>1297</v>
      </c>
      <c r="B9" t="s">
        <v>18</v>
      </c>
      <c r="C9" t="s">
        <v>1298</v>
      </c>
      <c r="D9" t="s">
        <v>1299</v>
      </c>
      <c r="E9" t="s">
        <v>1299</v>
      </c>
      <c r="F9" t="s">
        <v>1300</v>
      </c>
      <c r="G9" t="s">
        <v>1301</v>
      </c>
      <c r="H9" t="s">
        <v>18</v>
      </c>
      <c r="I9" t="s">
        <v>1302</v>
      </c>
      <c r="J9" t="s">
        <v>1303</v>
      </c>
      <c r="K9" t="s">
        <v>1304</v>
      </c>
      <c r="L9" t="s">
        <v>1305</v>
      </c>
      <c r="M9" t="s">
        <v>902</v>
      </c>
    </row>
    <row r="10" spans="1:16" x14ac:dyDescent="0.25">
      <c r="A10" t="s">
        <v>1306</v>
      </c>
      <c r="B10" t="s">
        <v>19</v>
      </c>
      <c r="C10" t="s">
        <v>1271</v>
      </c>
      <c r="D10" t="s">
        <v>1307</v>
      </c>
      <c r="E10" t="s">
        <v>1307</v>
      </c>
      <c r="F10" t="s">
        <v>824</v>
      </c>
      <c r="G10" t="s">
        <v>1308</v>
      </c>
      <c r="H10" t="s">
        <v>19</v>
      </c>
      <c r="I10" t="s">
        <v>16</v>
      </c>
      <c r="J10" t="s">
        <v>1309</v>
      </c>
      <c r="K10" t="s">
        <v>1310</v>
      </c>
      <c r="L10" t="s">
        <v>1311</v>
      </c>
      <c r="M10" t="s">
        <v>1312</v>
      </c>
    </row>
    <row r="11" spans="1:16" x14ac:dyDescent="0.25">
      <c r="A11" t="s">
        <v>1313</v>
      </c>
      <c r="B11" t="s">
        <v>816</v>
      </c>
      <c r="C11" t="s">
        <v>1280</v>
      </c>
      <c r="D11" t="s">
        <v>1314</v>
      </c>
      <c r="E11" t="s">
        <v>1314</v>
      </c>
      <c r="F11" t="s">
        <v>1315</v>
      </c>
      <c r="G11" t="s">
        <v>1316</v>
      </c>
      <c r="H11" t="s">
        <v>816</v>
      </c>
      <c r="I11" t="s">
        <v>1317</v>
      </c>
      <c r="J11" t="s">
        <v>1318</v>
      </c>
      <c r="K11" t="s">
        <v>1319</v>
      </c>
      <c r="L11" t="s">
        <v>1320</v>
      </c>
      <c r="M11" t="s">
        <v>803</v>
      </c>
    </row>
    <row r="12" spans="1:16" x14ac:dyDescent="0.25">
      <c r="A12" t="s">
        <v>1321</v>
      </c>
      <c r="B12" t="s">
        <v>1298</v>
      </c>
      <c r="C12" t="s">
        <v>818</v>
      </c>
      <c r="D12" t="s">
        <v>820</v>
      </c>
      <c r="E12" t="s">
        <v>820</v>
      </c>
      <c r="F12" t="s">
        <v>1322</v>
      </c>
      <c r="G12" t="s">
        <v>1323</v>
      </c>
      <c r="H12" t="s">
        <v>1324</v>
      </c>
      <c r="I12" t="s">
        <v>707</v>
      </c>
      <c r="J12" t="s">
        <v>1325</v>
      </c>
      <c r="K12" t="s">
        <v>1326</v>
      </c>
      <c r="L12" t="s">
        <v>1327</v>
      </c>
      <c r="M12" t="s">
        <v>1328</v>
      </c>
    </row>
    <row r="13" spans="1:16" x14ac:dyDescent="0.25">
      <c r="A13" t="s">
        <v>1329</v>
      </c>
      <c r="B13" t="s">
        <v>1271</v>
      </c>
      <c r="C13" t="s">
        <v>1266</v>
      </c>
      <c r="D13" t="s">
        <v>1330</v>
      </c>
      <c r="E13" t="s">
        <v>1330</v>
      </c>
      <c r="F13" t="s">
        <v>1331</v>
      </c>
      <c r="G13" t="s">
        <v>1332</v>
      </c>
      <c r="H13" t="s">
        <v>1333</v>
      </c>
      <c r="I13" t="s">
        <v>1334</v>
      </c>
      <c r="J13" t="s">
        <v>1335</v>
      </c>
      <c r="K13" t="s">
        <v>1336</v>
      </c>
      <c r="L13" t="s">
        <v>1337</v>
      </c>
      <c r="M13" t="s">
        <v>1338</v>
      </c>
    </row>
    <row r="14" spans="1:16" x14ac:dyDescent="0.25">
      <c r="A14" t="s">
        <v>1339</v>
      </c>
      <c r="B14" t="s">
        <v>1280</v>
      </c>
      <c r="C14" t="s">
        <v>1307</v>
      </c>
      <c r="D14" t="s">
        <v>1340</v>
      </c>
      <c r="E14" t="s">
        <v>1340</v>
      </c>
      <c r="F14" t="s">
        <v>1341</v>
      </c>
      <c r="G14" t="s">
        <v>1342</v>
      </c>
      <c r="H14" t="s">
        <v>1343</v>
      </c>
      <c r="I14" t="s">
        <v>1344</v>
      </c>
      <c r="J14" t="s">
        <v>1345</v>
      </c>
      <c r="K14" t="s">
        <v>1346</v>
      </c>
      <c r="L14" t="s">
        <v>1347</v>
      </c>
      <c r="M14" t="s">
        <v>1348</v>
      </c>
    </row>
    <row r="15" spans="1:16" x14ac:dyDescent="0.25">
      <c r="A15" t="s">
        <v>1349</v>
      </c>
      <c r="B15" t="s">
        <v>818</v>
      </c>
      <c r="C15" t="s">
        <v>1350</v>
      </c>
      <c r="D15" t="s">
        <v>1351</v>
      </c>
      <c r="E15" t="s">
        <v>1351</v>
      </c>
      <c r="F15" t="s">
        <v>1352</v>
      </c>
      <c r="G15" t="s">
        <v>1353</v>
      </c>
      <c r="H15" t="s">
        <v>1354</v>
      </c>
      <c r="I15" t="s">
        <v>1355</v>
      </c>
      <c r="J15" t="s">
        <v>1356</v>
      </c>
      <c r="K15" t="s">
        <v>1357</v>
      </c>
      <c r="L15" t="s">
        <v>1358</v>
      </c>
      <c r="M15" t="s">
        <v>18</v>
      </c>
    </row>
    <row r="16" spans="1:16" x14ac:dyDescent="0.25">
      <c r="A16" t="s">
        <v>1359</v>
      </c>
      <c r="B16" t="s">
        <v>1266</v>
      </c>
      <c r="C16" t="s">
        <v>16</v>
      </c>
      <c r="D16" t="s">
        <v>1360</v>
      </c>
      <c r="E16" t="s">
        <v>1360</v>
      </c>
      <c r="F16" t="s">
        <v>1361</v>
      </c>
      <c r="G16" t="s">
        <v>1362</v>
      </c>
      <c r="H16" t="s">
        <v>1363</v>
      </c>
      <c r="I16" t="s">
        <v>1364</v>
      </c>
      <c r="J16" t="s">
        <v>1365</v>
      </c>
      <c r="K16" t="s">
        <v>1366</v>
      </c>
      <c r="L16" t="s">
        <v>1367</v>
      </c>
      <c r="M16" t="s">
        <v>19</v>
      </c>
    </row>
    <row r="17" spans="1:13" x14ac:dyDescent="0.25">
      <c r="A17" t="s">
        <v>1368</v>
      </c>
      <c r="B17" t="s">
        <v>1350</v>
      </c>
      <c r="C17" t="s">
        <v>820</v>
      </c>
      <c r="D17" t="s">
        <v>828</v>
      </c>
      <c r="E17" t="s">
        <v>828</v>
      </c>
      <c r="F17" t="s">
        <v>1369</v>
      </c>
      <c r="G17" t="s">
        <v>1370</v>
      </c>
      <c r="H17" t="s">
        <v>1371</v>
      </c>
      <c r="I17" t="s">
        <v>1372</v>
      </c>
      <c r="J17" t="s">
        <v>1373</v>
      </c>
      <c r="K17" t="s">
        <v>1374</v>
      </c>
      <c r="L17" t="s">
        <v>1375</v>
      </c>
      <c r="M17" t="s">
        <v>1376</v>
      </c>
    </row>
    <row r="18" spans="1:13" x14ac:dyDescent="0.25">
      <c r="A18" t="s">
        <v>1377</v>
      </c>
      <c r="B18" t="s">
        <v>16</v>
      </c>
      <c r="C18" t="s">
        <v>1300</v>
      </c>
      <c r="D18" t="s">
        <v>830</v>
      </c>
      <c r="E18" t="s">
        <v>830</v>
      </c>
      <c r="F18" t="s">
        <v>1378</v>
      </c>
      <c r="G18" t="s">
        <v>1379</v>
      </c>
      <c r="H18" t="s">
        <v>1380</v>
      </c>
      <c r="I18" t="s">
        <v>1381</v>
      </c>
      <c r="J18" t="s">
        <v>1382</v>
      </c>
      <c r="K18" t="s">
        <v>1383</v>
      </c>
      <c r="L18" t="s">
        <v>1384</v>
      </c>
      <c r="M18" t="s">
        <v>1385</v>
      </c>
    </row>
    <row r="19" spans="1:13" x14ac:dyDescent="0.25">
      <c r="A19" t="s">
        <v>1386</v>
      </c>
      <c r="B19" t="s">
        <v>820</v>
      </c>
      <c r="C19" t="s">
        <v>822</v>
      </c>
      <c r="D19" t="s">
        <v>1387</v>
      </c>
      <c r="E19" t="s">
        <v>1387</v>
      </c>
      <c r="F19" t="s">
        <v>1388</v>
      </c>
      <c r="G19" t="s">
        <v>1389</v>
      </c>
      <c r="H19" t="s">
        <v>1390</v>
      </c>
      <c r="I19" t="s">
        <v>1391</v>
      </c>
      <c r="J19" t="s">
        <v>921</v>
      </c>
      <c r="K19" t="s">
        <v>1392</v>
      </c>
      <c r="L19" t="s">
        <v>1393</v>
      </c>
      <c r="M19" t="s">
        <v>1394</v>
      </c>
    </row>
    <row r="20" spans="1:13" x14ac:dyDescent="0.25">
      <c r="A20" t="s">
        <v>1395</v>
      </c>
      <c r="B20" t="s">
        <v>822</v>
      </c>
      <c r="C20" t="s">
        <v>824</v>
      </c>
      <c r="D20" t="s">
        <v>1396</v>
      </c>
      <c r="E20" t="s">
        <v>1396</v>
      </c>
      <c r="F20" t="s">
        <v>838</v>
      </c>
      <c r="G20" t="s">
        <v>1397</v>
      </c>
      <c r="H20" t="s">
        <v>1398</v>
      </c>
      <c r="I20" t="s">
        <v>1399</v>
      </c>
      <c r="J20" t="s">
        <v>1400</v>
      </c>
      <c r="K20" t="s">
        <v>1401</v>
      </c>
      <c r="L20" t="s">
        <v>1402</v>
      </c>
      <c r="M20" t="s">
        <v>1403</v>
      </c>
    </row>
    <row r="21" spans="1:13" x14ac:dyDescent="0.25">
      <c r="A21" t="s">
        <v>1404</v>
      </c>
      <c r="B21" t="s">
        <v>824</v>
      </c>
      <c r="C21" t="s">
        <v>826</v>
      </c>
      <c r="D21" t="s">
        <v>1405</v>
      </c>
      <c r="E21" t="s">
        <v>1405</v>
      </c>
      <c r="F21" t="s">
        <v>840</v>
      </c>
      <c r="G21" t="s">
        <v>1406</v>
      </c>
      <c r="H21" t="s">
        <v>1407</v>
      </c>
      <c r="I21" t="s">
        <v>1408</v>
      </c>
      <c r="K21" t="s">
        <v>1409</v>
      </c>
      <c r="L21" t="s">
        <v>1410</v>
      </c>
      <c r="M21" t="s">
        <v>1411</v>
      </c>
    </row>
    <row r="22" spans="1:13" x14ac:dyDescent="0.25">
      <c r="A22" t="s">
        <v>1412</v>
      </c>
      <c r="B22" t="s">
        <v>826</v>
      </c>
      <c r="C22" t="s">
        <v>1351</v>
      </c>
      <c r="D22" t="s">
        <v>1413</v>
      </c>
      <c r="E22" t="s">
        <v>1413</v>
      </c>
      <c r="F22" t="s">
        <v>1414</v>
      </c>
      <c r="G22" t="s">
        <v>1415</v>
      </c>
      <c r="H22" t="s">
        <v>1416</v>
      </c>
      <c r="I22" t="s">
        <v>1417</v>
      </c>
      <c r="K22" t="s">
        <v>1418</v>
      </c>
      <c r="L22" t="s">
        <v>1419</v>
      </c>
      <c r="M22" t="s">
        <v>1405</v>
      </c>
    </row>
    <row r="23" spans="1:13" x14ac:dyDescent="0.25">
      <c r="A23" t="s">
        <v>1420</v>
      </c>
      <c r="B23" t="s">
        <v>828</v>
      </c>
      <c r="C23" t="s">
        <v>1360</v>
      </c>
      <c r="D23" t="s">
        <v>1421</v>
      </c>
      <c r="E23" t="s">
        <v>1421</v>
      </c>
      <c r="F23" t="s">
        <v>1422</v>
      </c>
      <c r="G23" t="s">
        <v>1423</v>
      </c>
      <c r="H23" t="s">
        <v>1424</v>
      </c>
      <c r="I23" t="s">
        <v>1425</v>
      </c>
      <c r="K23" t="s">
        <v>1426</v>
      </c>
      <c r="L23" t="s">
        <v>1427</v>
      </c>
      <c r="M23" t="s">
        <v>1428</v>
      </c>
    </row>
    <row r="24" spans="1:13" x14ac:dyDescent="0.25">
      <c r="A24" t="s">
        <v>1429</v>
      </c>
      <c r="B24" t="s">
        <v>830</v>
      </c>
      <c r="C24" t="s">
        <v>828</v>
      </c>
      <c r="D24" t="s">
        <v>1430</v>
      </c>
      <c r="E24" t="s">
        <v>1430</v>
      </c>
      <c r="F24" t="s">
        <v>1431</v>
      </c>
      <c r="G24" t="s">
        <v>1432</v>
      </c>
      <c r="H24" t="s">
        <v>1433</v>
      </c>
      <c r="I24" t="s">
        <v>727</v>
      </c>
      <c r="K24" t="s">
        <v>1434</v>
      </c>
      <c r="L24" t="s">
        <v>1435</v>
      </c>
      <c r="M24" t="s">
        <v>1436</v>
      </c>
    </row>
    <row r="25" spans="1:13" x14ac:dyDescent="0.25">
      <c r="A25" t="s">
        <v>1437</v>
      </c>
      <c r="B25" t="s">
        <v>1396</v>
      </c>
      <c r="C25" t="s">
        <v>830</v>
      </c>
      <c r="D25" t="s">
        <v>1438</v>
      </c>
      <c r="E25" t="s">
        <v>1438</v>
      </c>
      <c r="F25" t="s">
        <v>1439</v>
      </c>
      <c r="G25" t="s">
        <v>1440</v>
      </c>
      <c r="H25" t="s">
        <v>1441</v>
      </c>
      <c r="I25" t="s">
        <v>848</v>
      </c>
      <c r="K25" t="s">
        <v>1442</v>
      </c>
      <c r="L25" t="s">
        <v>1443</v>
      </c>
      <c r="M25" t="s">
        <v>1343</v>
      </c>
    </row>
    <row r="26" spans="1:13" x14ac:dyDescent="0.25">
      <c r="B26" t="s">
        <v>1331</v>
      </c>
      <c r="C26" t="s">
        <v>1396</v>
      </c>
      <c r="D26" t="s">
        <v>1444</v>
      </c>
      <c r="E26" t="s">
        <v>1444</v>
      </c>
      <c r="F26" t="s">
        <v>1445</v>
      </c>
      <c r="G26" t="s">
        <v>1446</v>
      </c>
      <c r="H26" t="s">
        <v>1447</v>
      </c>
      <c r="I26" t="s">
        <v>1448</v>
      </c>
      <c r="K26" t="s">
        <v>1449</v>
      </c>
      <c r="L26" t="s">
        <v>1450</v>
      </c>
      <c r="M26" t="s">
        <v>1354</v>
      </c>
    </row>
    <row r="27" spans="1:13" x14ac:dyDescent="0.25">
      <c r="B27" t="s">
        <v>1451</v>
      </c>
      <c r="C27" t="s">
        <v>1331</v>
      </c>
      <c r="D27" t="s">
        <v>1452</v>
      </c>
      <c r="E27" t="s">
        <v>1452</v>
      </c>
      <c r="F27" t="s">
        <v>1453</v>
      </c>
      <c r="G27" t="s">
        <v>1454</v>
      </c>
      <c r="H27" t="s">
        <v>1455</v>
      </c>
      <c r="I27" t="s">
        <v>1456</v>
      </c>
      <c r="K27" t="s">
        <v>1457</v>
      </c>
      <c r="M27" t="s">
        <v>1458</v>
      </c>
    </row>
    <row r="28" spans="1:13" x14ac:dyDescent="0.25">
      <c r="B28" t="s">
        <v>1344</v>
      </c>
      <c r="C28" t="s">
        <v>1451</v>
      </c>
      <c r="D28" t="s">
        <v>1451</v>
      </c>
      <c r="E28" t="s">
        <v>1451</v>
      </c>
      <c r="F28" t="s">
        <v>1459</v>
      </c>
      <c r="G28" t="s">
        <v>1460</v>
      </c>
      <c r="H28" t="s">
        <v>1461</v>
      </c>
      <c r="I28" t="s">
        <v>1462</v>
      </c>
      <c r="K28" t="s">
        <v>1463</v>
      </c>
      <c r="M28" t="s">
        <v>816</v>
      </c>
    </row>
    <row r="29" spans="1:13" x14ac:dyDescent="0.25">
      <c r="B29" t="s">
        <v>1464</v>
      </c>
      <c r="C29" t="s">
        <v>1344</v>
      </c>
      <c r="D29" t="s">
        <v>1464</v>
      </c>
      <c r="E29" t="s">
        <v>1464</v>
      </c>
      <c r="F29" t="s">
        <v>846</v>
      </c>
      <c r="G29" t="s">
        <v>1465</v>
      </c>
      <c r="H29" t="s">
        <v>1466</v>
      </c>
      <c r="I29" t="s">
        <v>1467</v>
      </c>
      <c r="K29" t="s">
        <v>1468</v>
      </c>
      <c r="M29" t="s">
        <v>1387</v>
      </c>
    </row>
    <row r="30" spans="1:13" x14ac:dyDescent="0.25">
      <c r="B30" t="s">
        <v>1355</v>
      </c>
      <c r="C30" t="s">
        <v>1464</v>
      </c>
      <c r="D30" t="s">
        <v>1469</v>
      </c>
      <c r="E30" t="s">
        <v>1469</v>
      </c>
      <c r="F30" t="s">
        <v>1470</v>
      </c>
      <c r="G30" t="s">
        <v>1471</v>
      </c>
      <c r="H30" t="s">
        <v>1472</v>
      </c>
      <c r="I30" t="s">
        <v>1473</v>
      </c>
      <c r="K30" t="s">
        <v>1474</v>
      </c>
      <c r="M30" t="s">
        <v>17</v>
      </c>
    </row>
    <row r="31" spans="1:13" x14ac:dyDescent="0.25">
      <c r="B31" t="s">
        <v>1469</v>
      </c>
      <c r="C31" t="s">
        <v>1355</v>
      </c>
      <c r="D31" t="s">
        <v>1475</v>
      </c>
      <c r="E31" t="s">
        <v>1475</v>
      </c>
      <c r="F31" t="s">
        <v>1476</v>
      </c>
      <c r="G31" t="s">
        <v>1477</v>
      </c>
      <c r="H31" t="s">
        <v>1478</v>
      </c>
      <c r="I31" t="s">
        <v>1479</v>
      </c>
      <c r="K31" t="s">
        <v>1480</v>
      </c>
      <c r="M31" t="s">
        <v>1481</v>
      </c>
    </row>
    <row r="32" spans="1:13" x14ac:dyDescent="0.25">
      <c r="B32" t="s">
        <v>1372</v>
      </c>
      <c r="C32" t="s">
        <v>1469</v>
      </c>
      <c r="D32" t="s">
        <v>832</v>
      </c>
      <c r="E32" t="s">
        <v>832</v>
      </c>
      <c r="F32" t="s">
        <v>1482</v>
      </c>
      <c r="G32" t="s">
        <v>1483</v>
      </c>
      <c r="H32" t="s">
        <v>1484</v>
      </c>
      <c r="I32" t="s">
        <v>1485</v>
      </c>
      <c r="K32" t="s">
        <v>1486</v>
      </c>
    </row>
    <row r="33" spans="2:11" x14ac:dyDescent="0.25">
      <c r="B33" t="s">
        <v>1381</v>
      </c>
      <c r="C33" t="s">
        <v>1364</v>
      </c>
      <c r="D33" t="s">
        <v>1487</v>
      </c>
      <c r="E33" t="s">
        <v>1487</v>
      </c>
      <c r="F33" t="s">
        <v>854</v>
      </c>
      <c r="G33" t="s">
        <v>1048</v>
      </c>
      <c r="H33" t="s">
        <v>17</v>
      </c>
      <c r="I33" t="s">
        <v>1488</v>
      </c>
      <c r="K33" t="s">
        <v>1489</v>
      </c>
    </row>
    <row r="34" spans="2:11" x14ac:dyDescent="0.25">
      <c r="B34" t="s">
        <v>1369</v>
      </c>
      <c r="C34" t="s">
        <v>1372</v>
      </c>
      <c r="D34" t="s">
        <v>834</v>
      </c>
      <c r="E34" t="s">
        <v>834</v>
      </c>
      <c r="F34" t="s">
        <v>1490</v>
      </c>
      <c r="G34" t="s">
        <v>1491</v>
      </c>
      <c r="H34" t="s">
        <v>1481</v>
      </c>
      <c r="I34" t="s">
        <v>1492</v>
      </c>
      <c r="K34" t="s">
        <v>1493</v>
      </c>
    </row>
    <row r="35" spans="2:11" x14ac:dyDescent="0.25">
      <c r="B35" t="s">
        <v>832</v>
      </c>
      <c r="C35" t="s">
        <v>1381</v>
      </c>
      <c r="D35" t="s">
        <v>836</v>
      </c>
      <c r="E35" t="s">
        <v>836</v>
      </c>
      <c r="F35" t="s">
        <v>1494</v>
      </c>
      <c r="G35" t="s">
        <v>1495</v>
      </c>
      <c r="H35" t="s">
        <v>1496</v>
      </c>
      <c r="I35" t="s">
        <v>1497</v>
      </c>
      <c r="K35" t="s">
        <v>1498</v>
      </c>
    </row>
    <row r="36" spans="2:11" x14ac:dyDescent="0.25">
      <c r="B36" t="s">
        <v>834</v>
      </c>
      <c r="C36" t="s">
        <v>1381</v>
      </c>
      <c r="D36" t="s">
        <v>1499</v>
      </c>
      <c r="E36" t="s">
        <v>1499</v>
      </c>
      <c r="F36" t="s">
        <v>1500</v>
      </c>
      <c r="G36" t="s">
        <v>1501</v>
      </c>
      <c r="H36" t="s">
        <v>1502</v>
      </c>
      <c r="I36" t="s">
        <v>1503</v>
      </c>
      <c r="K36" t="s">
        <v>1504</v>
      </c>
    </row>
    <row r="37" spans="2:11" x14ac:dyDescent="0.25">
      <c r="B37" t="s">
        <v>1275</v>
      </c>
      <c r="C37" t="s">
        <v>1369</v>
      </c>
      <c r="D37" t="s">
        <v>1505</v>
      </c>
      <c r="E37" t="s">
        <v>1505</v>
      </c>
      <c r="F37" t="s">
        <v>1506</v>
      </c>
      <c r="G37" t="s">
        <v>865</v>
      </c>
      <c r="H37" t="s">
        <v>1507</v>
      </c>
      <c r="I37" t="s">
        <v>1508</v>
      </c>
      <c r="K37" t="s">
        <v>1509</v>
      </c>
    </row>
    <row r="38" spans="2:11" x14ac:dyDescent="0.25">
      <c r="B38" t="s">
        <v>1284</v>
      </c>
      <c r="C38" t="s">
        <v>1510</v>
      </c>
      <c r="D38" t="s">
        <v>1511</v>
      </c>
      <c r="E38" t="s">
        <v>1511</v>
      </c>
      <c r="F38" t="s">
        <v>1512</v>
      </c>
      <c r="G38" t="s">
        <v>1513</v>
      </c>
      <c r="H38" t="s">
        <v>1514</v>
      </c>
      <c r="I38" t="s">
        <v>1515</v>
      </c>
      <c r="K38" t="s">
        <v>1516</v>
      </c>
    </row>
    <row r="39" spans="2:11" x14ac:dyDescent="0.25">
      <c r="B39" t="s">
        <v>1333</v>
      </c>
      <c r="C39" t="s">
        <v>832</v>
      </c>
      <c r="D39" t="s">
        <v>1517</v>
      </c>
      <c r="E39" t="s">
        <v>1517</v>
      </c>
      <c r="F39" t="s">
        <v>1518</v>
      </c>
      <c r="G39" t="s">
        <v>1519</v>
      </c>
      <c r="H39" t="s">
        <v>1520</v>
      </c>
      <c r="I39" t="s">
        <v>1521</v>
      </c>
      <c r="K39" t="s">
        <v>1522</v>
      </c>
    </row>
    <row r="40" spans="2:11" x14ac:dyDescent="0.25">
      <c r="B40" t="s">
        <v>838</v>
      </c>
      <c r="C40" t="s">
        <v>834</v>
      </c>
      <c r="D40" t="s">
        <v>1523</v>
      </c>
      <c r="E40" t="s">
        <v>1523</v>
      </c>
      <c r="F40" t="s">
        <v>1524</v>
      </c>
      <c r="G40" t="s">
        <v>899</v>
      </c>
      <c r="H40" t="s">
        <v>1525</v>
      </c>
      <c r="I40" t="s">
        <v>1526</v>
      </c>
      <c r="K40" t="s">
        <v>913</v>
      </c>
    </row>
    <row r="41" spans="2:11" x14ac:dyDescent="0.25">
      <c r="B41" t="s">
        <v>840</v>
      </c>
      <c r="C41" t="s">
        <v>1275</v>
      </c>
      <c r="D41" t="s">
        <v>1527</v>
      </c>
      <c r="E41" t="s">
        <v>1527</v>
      </c>
      <c r="F41" t="s">
        <v>1528</v>
      </c>
      <c r="G41" t="s">
        <v>1529</v>
      </c>
      <c r="H41" t="s">
        <v>1530</v>
      </c>
      <c r="I41" t="s">
        <v>1531</v>
      </c>
      <c r="K41" t="s">
        <v>915</v>
      </c>
    </row>
    <row r="42" spans="2:11" x14ac:dyDescent="0.25">
      <c r="B42" t="s">
        <v>1414</v>
      </c>
      <c r="C42" t="s">
        <v>1284</v>
      </c>
      <c r="D42" t="s">
        <v>1532</v>
      </c>
      <c r="E42" t="s">
        <v>1532</v>
      </c>
      <c r="F42" t="s">
        <v>1533</v>
      </c>
      <c r="G42" t="s">
        <v>1534</v>
      </c>
      <c r="H42" t="s">
        <v>1535</v>
      </c>
      <c r="I42" t="s">
        <v>1536</v>
      </c>
      <c r="K42" t="s">
        <v>1537</v>
      </c>
    </row>
    <row r="43" spans="2:11" x14ac:dyDescent="0.25">
      <c r="B43" t="s">
        <v>1538</v>
      </c>
      <c r="C43" t="s">
        <v>836</v>
      </c>
      <c r="D43" t="s">
        <v>1539</v>
      </c>
      <c r="E43" t="s">
        <v>1539</v>
      </c>
      <c r="F43" t="s">
        <v>1540</v>
      </c>
      <c r="G43" t="s">
        <v>1541</v>
      </c>
      <c r="H43" t="s">
        <v>1542</v>
      </c>
      <c r="I43" t="s">
        <v>1543</v>
      </c>
      <c r="K43" t="s">
        <v>1544</v>
      </c>
    </row>
    <row r="44" spans="2:11" x14ac:dyDescent="0.25">
      <c r="B44" t="s">
        <v>1545</v>
      </c>
      <c r="C44" t="s">
        <v>1324</v>
      </c>
      <c r="D44" t="s">
        <v>1546</v>
      </c>
      <c r="E44" t="s">
        <v>1546</v>
      </c>
      <c r="F44" t="s">
        <v>1547</v>
      </c>
      <c r="G44" t="s">
        <v>1548</v>
      </c>
      <c r="H44" t="s">
        <v>1549</v>
      </c>
      <c r="I44" t="s">
        <v>1550</v>
      </c>
    </row>
    <row r="45" spans="2:11" x14ac:dyDescent="0.25">
      <c r="B45" t="s">
        <v>1551</v>
      </c>
      <c r="C45" t="s">
        <v>1499</v>
      </c>
      <c r="D45" t="s">
        <v>1552</v>
      </c>
      <c r="E45" t="s">
        <v>1552</v>
      </c>
      <c r="F45" t="s">
        <v>1553</v>
      </c>
      <c r="G45" t="s">
        <v>1554</v>
      </c>
      <c r="H45" t="s">
        <v>1312</v>
      </c>
      <c r="I45" t="s">
        <v>1555</v>
      </c>
    </row>
    <row r="46" spans="2:11" x14ac:dyDescent="0.25">
      <c r="B46" t="s">
        <v>1391</v>
      </c>
      <c r="C46" t="s">
        <v>1333</v>
      </c>
      <c r="D46" t="s">
        <v>1556</v>
      </c>
      <c r="E46" t="s">
        <v>1556</v>
      </c>
      <c r="F46" t="s">
        <v>1557</v>
      </c>
      <c r="G46" t="s">
        <v>1558</v>
      </c>
      <c r="H46" t="s">
        <v>803</v>
      </c>
      <c r="I46" t="s">
        <v>1559</v>
      </c>
    </row>
    <row r="47" spans="2:11" x14ac:dyDescent="0.25">
      <c r="B47" t="s">
        <v>1560</v>
      </c>
      <c r="C47" t="s">
        <v>838</v>
      </c>
      <c r="D47" t="s">
        <v>1561</v>
      </c>
      <c r="E47" t="s">
        <v>1561</v>
      </c>
      <c r="F47" t="s">
        <v>860</v>
      </c>
      <c r="G47" t="s">
        <v>1562</v>
      </c>
      <c r="H47" t="s">
        <v>1328</v>
      </c>
      <c r="I47" t="s">
        <v>1563</v>
      </c>
    </row>
    <row r="48" spans="2:11" x14ac:dyDescent="0.25">
      <c r="B48" t="s">
        <v>1564</v>
      </c>
      <c r="C48" t="s">
        <v>840</v>
      </c>
      <c r="D48" t="s">
        <v>856</v>
      </c>
      <c r="E48" t="s">
        <v>856</v>
      </c>
      <c r="F48" t="s">
        <v>766</v>
      </c>
      <c r="G48" t="s">
        <v>1565</v>
      </c>
      <c r="H48" t="s">
        <v>1338</v>
      </c>
      <c r="I48" t="s">
        <v>1566</v>
      </c>
    </row>
    <row r="49" spans="2:9" x14ac:dyDescent="0.25">
      <c r="B49" t="s">
        <v>1422</v>
      </c>
      <c r="C49" t="s">
        <v>1551</v>
      </c>
      <c r="D49" t="s">
        <v>1567</v>
      </c>
      <c r="E49" t="s">
        <v>1567</v>
      </c>
      <c r="F49" t="s">
        <v>1568</v>
      </c>
      <c r="G49" t="s">
        <v>1569</v>
      </c>
      <c r="H49" t="s">
        <v>1348</v>
      </c>
      <c r="I49" t="s">
        <v>1570</v>
      </c>
    </row>
    <row r="50" spans="2:9" x14ac:dyDescent="0.25">
      <c r="B50" t="s">
        <v>842</v>
      </c>
      <c r="C50" t="s">
        <v>1391</v>
      </c>
      <c r="D50" t="s">
        <v>1571</v>
      </c>
      <c r="E50" t="s">
        <v>1571</v>
      </c>
      <c r="F50" t="s">
        <v>863</v>
      </c>
      <c r="G50" t="s">
        <v>1572</v>
      </c>
      <c r="H50" t="s">
        <v>1573</v>
      </c>
      <c r="I50" t="s">
        <v>1574</v>
      </c>
    </row>
    <row r="51" spans="2:9" x14ac:dyDescent="0.25">
      <c r="B51" t="s">
        <v>1575</v>
      </c>
      <c r="C51" t="s">
        <v>1560</v>
      </c>
      <c r="D51" t="s">
        <v>1576</v>
      </c>
      <c r="E51" t="s">
        <v>1576</v>
      </c>
      <c r="F51" t="s">
        <v>1170</v>
      </c>
      <c r="G51" t="s">
        <v>1577</v>
      </c>
      <c r="H51" t="s">
        <v>1578</v>
      </c>
      <c r="I51" t="s">
        <v>875</v>
      </c>
    </row>
    <row r="52" spans="2:9" x14ac:dyDescent="0.25">
      <c r="B52" t="s">
        <v>1259</v>
      </c>
      <c r="C52" t="s">
        <v>1564</v>
      </c>
      <c r="D52" t="s">
        <v>1579</v>
      </c>
      <c r="E52" t="s">
        <v>1579</v>
      </c>
      <c r="F52" t="s">
        <v>870</v>
      </c>
      <c r="G52" t="s">
        <v>1580</v>
      </c>
      <c r="I52" t="s">
        <v>1581</v>
      </c>
    </row>
    <row r="53" spans="2:9" x14ac:dyDescent="0.25">
      <c r="B53" t="s">
        <v>1267</v>
      </c>
      <c r="C53" t="s">
        <v>842</v>
      </c>
      <c r="D53" t="s">
        <v>1582</v>
      </c>
      <c r="E53" t="s">
        <v>1582</v>
      </c>
      <c r="F53" t="s">
        <v>1583</v>
      </c>
      <c r="G53" t="s">
        <v>1584</v>
      </c>
      <c r="I53" t="s">
        <v>887</v>
      </c>
    </row>
    <row r="54" spans="2:9" x14ac:dyDescent="0.25">
      <c r="B54" t="s">
        <v>1276</v>
      </c>
      <c r="C54" t="s">
        <v>1259</v>
      </c>
      <c r="D54" t="s">
        <v>1585</v>
      </c>
      <c r="E54" t="s">
        <v>1585</v>
      </c>
      <c r="F54" t="s">
        <v>1586</v>
      </c>
      <c r="G54" t="s">
        <v>1587</v>
      </c>
      <c r="I54" t="s">
        <v>1588</v>
      </c>
    </row>
    <row r="55" spans="2:9" x14ac:dyDescent="0.25">
      <c r="B55" t="s">
        <v>1285</v>
      </c>
      <c r="C55" t="s">
        <v>1267</v>
      </c>
      <c r="D55" t="s">
        <v>1589</v>
      </c>
      <c r="E55" t="s">
        <v>1589</v>
      </c>
      <c r="F55" t="s">
        <v>872</v>
      </c>
      <c r="G55" t="s">
        <v>1467</v>
      </c>
      <c r="I55" t="s">
        <v>1590</v>
      </c>
    </row>
    <row r="56" spans="2:9" x14ac:dyDescent="0.25">
      <c r="B56" t="s">
        <v>1431</v>
      </c>
      <c r="C56" t="s">
        <v>1276</v>
      </c>
      <c r="D56" t="s">
        <v>1591</v>
      </c>
      <c r="E56" t="s">
        <v>1591</v>
      </c>
      <c r="F56" t="s">
        <v>1592</v>
      </c>
      <c r="I56" t="s">
        <v>1593</v>
      </c>
    </row>
    <row r="57" spans="2:9" x14ac:dyDescent="0.25">
      <c r="B57" t="s">
        <v>1594</v>
      </c>
      <c r="C57" t="s">
        <v>1285</v>
      </c>
      <c r="D57" t="s">
        <v>1595</v>
      </c>
      <c r="E57" t="s">
        <v>1595</v>
      </c>
      <c r="F57" t="s">
        <v>1596</v>
      </c>
      <c r="I57" t="s">
        <v>1597</v>
      </c>
    </row>
    <row r="58" spans="2:9" x14ac:dyDescent="0.25">
      <c r="B58" t="s">
        <v>1417</v>
      </c>
      <c r="C58" t="s">
        <v>1431</v>
      </c>
      <c r="D58" t="s">
        <v>1598</v>
      </c>
      <c r="E58" t="s">
        <v>1598</v>
      </c>
      <c r="F58" t="s">
        <v>1599</v>
      </c>
      <c r="I58" t="s">
        <v>1600</v>
      </c>
    </row>
    <row r="59" spans="2:9" x14ac:dyDescent="0.25">
      <c r="B59" t="s">
        <v>1453</v>
      </c>
      <c r="C59" t="s">
        <v>1594</v>
      </c>
      <c r="D59" t="s">
        <v>1601</v>
      </c>
      <c r="E59" t="s">
        <v>1601</v>
      </c>
      <c r="F59" t="s">
        <v>1602</v>
      </c>
      <c r="I59" t="s">
        <v>906</v>
      </c>
    </row>
    <row r="60" spans="2:9" x14ac:dyDescent="0.25">
      <c r="B60" t="s">
        <v>1603</v>
      </c>
      <c r="C60" t="s">
        <v>1417</v>
      </c>
      <c r="D60" t="s">
        <v>1604</v>
      </c>
      <c r="E60" t="s">
        <v>1604</v>
      </c>
      <c r="F60" t="s">
        <v>1605</v>
      </c>
      <c r="I60" t="s">
        <v>1606</v>
      </c>
    </row>
    <row r="61" spans="2:9" x14ac:dyDescent="0.25">
      <c r="B61" t="s">
        <v>1607</v>
      </c>
      <c r="C61" t="s">
        <v>1453</v>
      </c>
      <c r="D61" t="s">
        <v>1608</v>
      </c>
      <c r="E61" t="s">
        <v>1608</v>
      </c>
      <c r="F61" t="s">
        <v>1609</v>
      </c>
      <c r="I61" t="s">
        <v>1610</v>
      </c>
    </row>
    <row r="62" spans="2:9" x14ac:dyDescent="0.25">
      <c r="B62" t="s">
        <v>844</v>
      </c>
      <c r="C62" t="s">
        <v>1603</v>
      </c>
      <c r="D62" t="s">
        <v>1611</v>
      </c>
      <c r="E62" t="s">
        <v>1611</v>
      </c>
      <c r="F62" t="s">
        <v>1612</v>
      </c>
      <c r="I62" t="s">
        <v>1613</v>
      </c>
    </row>
    <row r="63" spans="2:9" x14ac:dyDescent="0.25">
      <c r="B63" t="s">
        <v>1459</v>
      </c>
      <c r="C63" t="s">
        <v>1607</v>
      </c>
      <c r="D63" t="s">
        <v>1614</v>
      </c>
      <c r="E63" t="s">
        <v>1614</v>
      </c>
      <c r="F63" t="s">
        <v>1615</v>
      </c>
      <c r="I63" t="s">
        <v>917</v>
      </c>
    </row>
    <row r="64" spans="2:9" x14ac:dyDescent="0.25">
      <c r="B64" t="s">
        <v>848</v>
      </c>
      <c r="C64" t="s">
        <v>844</v>
      </c>
      <c r="D64" t="s">
        <v>1616</v>
      </c>
      <c r="E64" t="s">
        <v>1616</v>
      </c>
      <c r="F64" t="s">
        <v>1617</v>
      </c>
      <c r="I64" t="s">
        <v>1618</v>
      </c>
    </row>
    <row r="65" spans="2:9" x14ac:dyDescent="0.25">
      <c r="B65" t="s">
        <v>1470</v>
      </c>
      <c r="C65" t="s">
        <v>1459</v>
      </c>
      <c r="D65" t="s">
        <v>1619</v>
      </c>
      <c r="E65" t="s">
        <v>1619</v>
      </c>
      <c r="F65" t="s">
        <v>1620</v>
      </c>
      <c r="I65" t="s">
        <v>1621</v>
      </c>
    </row>
    <row r="66" spans="2:9" x14ac:dyDescent="0.25">
      <c r="B66" t="s">
        <v>1476</v>
      </c>
      <c r="C66" t="s">
        <v>848</v>
      </c>
      <c r="D66" t="s">
        <v>1622</v>
      </c>
      <c r="E66" t="s">
        <v>1622</v>
      </c>
      <c r="F66" t="s">
        <v>1623</v>
      </c>
      <c r="I66" t="s">
        <v>1624</v>
      </c>
    </row>
    <row r="67" spans="2:9" x14ac:dyDescent="0.25">
      <c r="B67" t="s">
        <v>1625</v>
      </c>
      <c r="C67" t="s">
        <v>1470</v>
      </c>
      <c r="D67" t="s">
        <v>1626</v>
      </c>
      <c r="E67" t="s">
        <v>1626</v>
      </c>
      <c r="F67" t="s">
        <v>1627</v>
      </c>
      <c r="I67" t="s">
        <v>1628</v>
      </c>
    </row>
    <row r="68" spans="2:9" x14ac:dyDescent="0.25">
      <c r="B68" t="s">
        <v>1629</v>
      </c>
      <c r="C68" t="s">
        <v>1476</v>
      </c>
      <c r="D68" t="s">
        <v>1630</v>
      </c>
      <c r="E68" t="s">
        <v>1630</v>
      </c>
      <c r="F68" t="s">
        <v>1631</v>
      </c>
    </row>
    <row r="69" spans="2:9" x14ac:dyDescent="0.25">
      <c r="B69" t="s">
        <v>1482</v>
      </c>
      <c r="C69" t="s">
        <v>1482</v>
      </c>
      <c r="D69" t="s">
        <v>1632</v>
      </c>
      <c r="E69" t="s">
        <v>1632</v>
      </c>
      <c r="F69" t="s">
        <v>1633</v>
      </c>
    </row>
    <row r="70" spans="2:9" x14ac:dyDescent="0.25">
      <c r="B70" t="s">
        <v>850</v>
      </c>
      <c r="C70" t="s">
        <v>1490</v>
      </c>
      <c r="D70" t="s">
        <v>877</v>
      </c>
      <c r="E70" t="s">
        <v>877</v>
      </c>
      <c r="F70" t="s">
        <v>1634</v>
      </c>
    </row>
    <row r="71" spans="2:9" x14ac:dyDescent="0.25">
      <c r="B71" t="s">
        <v>1635</v>
      </c>
      <c r="C71" t="s">
        <v>1265</v>
      </c>
      <c r="D71" t="s">
        <v>879</v>
      </c>
      <c r="E71" t="s">
        <v>879</v>
      </c>
      <c r="F71" t="s">
        <v>1636</v>
      </c>
    </row>
    <row r="72" spans="2:9" x14ac:dyDescent="0.25">
      <c r="B72" t="s">
        <v>1637</v>
      </c>
      <c r="C72" t="s">
        <v>1272</v>
      </c>
      <c r="D72" t="s">
        <v>1638</v>
      </c>
      <c r="E72" t="s">
        <v>1638</v>
      </c>
      <c r="F72" t="s">
        <v>1639</v>
      </c>
    </row>
    <row r="73" spans="2:9" x14ac:dyDescent="0.25">
      <c r="B73" t="s">
        <v>1640</v>
      </c>
      <c r="C73" t="s">
        <v>1282</v>
      </c>
      <c r="D73" t="s">
        <v>1641</v>
      </c>
      <c r="E73" t="s">
        <v>1641</v>
      </c>
      <c r="F73" t="s">
        <v>1642</v>
      </c>
    </row>
    <row r="74" spans="2:9" x14ac:dyDescent="0.25">
      <c r="B74" t="s">
        <v>1643</v>
      </c>
      <c r="C74" t="s">
        <v>1291</v>
      </c>
      <c r="D74" t="s">
        <v>1644</v>
      </c>
      <c r="E74" t="s">
        <v>1644</v>
      </c>
      <c r="F74" t="s">
        <v>1645</v>
      </c>
    </row>
    <row r="75" spans="2:9" x14ac:dyDescent="0.25">
      <c r="B75" t="s">
        <v>1646</v>
      </c>
      <c r="C75" t="s">
        <v>1301</v>
      </c>
      <c r="D75" t="s">
        <v>1647</v>
      </c>
      <c r="E75" t="s">
        <v>1647</v>
      </c>
      <c r="F75" t="s">
        <v>1648</v>
      </c>
    </row>
    <row r="76" spans="2:9" x14ac:dyDescent="0.25">
      <c r="B76" t="s">
        <v>1649</v>
      </c>
      <c r="C76" t="s">
        <v>1308</v>
      </c>
      <c r="D76" t="s">
        <v>1650</v>
      </c>
      <c r="E76" t="s">
        <v>1650</v>
      </c>
      <c r="F76" t="s">
        <v>1651</v>
      </c>
    </row>
    <row r="77" spans="2:9" x14ac:dyDescent="0.25">
      <c r="B77" t="s">
        <v>1652</v>
      </c>
      <c r="C77" t="s">
        <v>1316</v>
      </c>
      <c r="D77" t="s">
        <v>881</v>
      </c>
      <c r="E77" t="s">
        <v>881</v>
      </c>
      <c r="F77" t="s">
        <v>1653</v>
      </c>
    </row>
    <row r="78" spans="2:9" x14ac:dyDescent="0.25">
      <c r="B78" t="s">
        <v>1654</v>
      </c>
      <c r="C78" t="s">
        <v>1323</v>
      </c>
      <c r="D78" t="s">
        <v>1655</v>
      </c>
      <c r="E78" t="s">
        <v>1655</v>
      </c>
      <c r="F78" t="s">
        <v>1656</v>
      </c>
    </row>
    <row r="79" spans="2:9" x14ac:dyDescent="0.25">
      <c r="B79" t="s">
        <v>852</v>
      </c>
      <c r="C79" t="s">
        <v>1342</v>
      </c>
      <c r="D79" t="s">
        <v>1657</v>
      </c>
      <c r="E79" t="s">
        <v>1657</v>
      </c>
      <c r="F79" t="s">
        <v>1658</v>
      </c>
    </row>
    <row r="80" spans="2:9" x14ac:dyDescent="0.25">
      <c r="B80" t="s">
        <v>1659</v>
      </c>
      <c r="C80" t="s">
        <v>1353</v>
      </c>
      <c r="D80" t="s">
        <v>1660</v>
      </c>
      <c r="E80" t="s">
        <v>1660</v>
      </c>
      <c r="F80" t="s">
        <v>1661</v>
      </c>
    </row>
    <row r="81" spans="2:6" x14ac:dyDescent="0.25">
      <c r="B81" t="s">
        <v>1662</v>
      </c>
      <c r="C81" t="s">
        <v>1663</v>
      </c>
      <c r="D81" t="s">
        <v>1664</v>
      </c>
      <c r="E81" t="s">
        <v>1664</v>
      </c>
      <c r="F81" t="s">
        <v>1665</v>
      </c>
    </row>
    <row r="82" spans="2:6" x14ac:dyDescent="0.25">
      <c r="B82" t="s">
        <v>854</v>
      </c>
      <c r="C82" t="s">
        <v>1293</v>
      </c>
      <c r="D82" t="s">
        <v>1666</v>
      </c>
      <c r="E82" t="s">
        <v>1666</v>
      </c>
      <c r="F82" t="s">
        <v>1667</v>
      </c>
    </row>
    <row r="83" spans="2:6" x14ac:dyDescent="0.25">
      <c r="B83" t="s">
        <v>1490</v>
      </c>
      <c r="C83" t="s">
        <v>1668</v>
      </c>
      <c r="D83" t="s">
        <v>1669</v>
      </c>
      <c r="E83" t="s">
        <v>1669</v>
      </c>
      <c r="F83" t="s">
        <v>1670</v>
      </c>
    </row>
    <row r="84" spans="2:6" x14ac:dyDescent="0.25">
      <c r="B84" t="s">
        <v>1265</v>
      </c>
      <c r="C84" t="s">
        <v>1671</v>
      </c>
      <c r="D84" t="s">
        <v>1672</v>
      </c>
      <c r="E84" t="s">
        <v>1672</v>
      </c>
      <c r="F84" t="s">
        <v>1673</v>
      </c>
    </row>
    <row r="85" spans="2:6" x14ac:dyDescent="0.25">
      <c r="B85" t="s">
        <v>1272</v>
      </c>
      <c r="C85" t="s">
        <v>1674</v>
      </c>
      <c r="D85" t="s">
        <v>1675</v>
      </c>
      <c r="E85" t="s">
        <v>1675</v>
      </c>
      <c r="F85" t="s">
        <v>1676</v>
      </c>
    </row>
    <row r="86" spans="2:6" x14ac:dyDescent="0.25">
      <c r="B86" t="s">
        <v>1282</v>
      </c>
      <c r="C86" t="s">
        <v>1677</v>
      </c>
      <c r="D86" t="s">
        <v>1678</v>
      </c>
      <c r="E86" t="s">
        <v>1678</v>
      </c>
      <c r="F86" t="s">
        <v>1679</v>
      </c>
    </row>
    <row r="87" spans="2:6" x14ac:dyDescent="0.25">
      <c r="B87" t="s">
        <v>1291</v>
      </c>
      <c r="C87" t="s">
        <v>1556</v>
      </c>
      <c r="D87" t="s">
        <v>1680</v>
      </c>
      <c r="E87" t="s">
        <v>1680</v>
      </c>
      <c r="F87" t="s">
        <v>1681</v>
      </c>
    </row>
    <row r="88" spans="2:6" x14ac:dyDescent="0.25">
      <c r="B88" t="s">
        <v>1301</v>
      </c>
      <c r="C88" t="s">
        <v>1561</v>
      </c>
      <c r="D88" t="s">
        <v>1682</v>
      </c>
      <c r="E88" t="s">
        <v>1682</v>
      </c>
      <c r="F88" t="s">
        <v>1683</v>
      </c>
    </row>
    <row r="89" spans="2:6" x14ac:dyDescent="0.25">
      <c r="B89" t="s">
        <v>1308</v>
      </c>
      <c r="C89" t="s">
        <v>856</v>
      </c>
      <c r="D89" t="s">
        <v>1278</v>
      </c>
      <c r="E89" t="s">
        <v>1278</v>
      </c>
      <c r="F89" t="s">
        <v>1684</v>
      </c>
    </row>
    <row r="90" spans="2:6" x14ac:dyDescent="0.25">
      <c r="B90" t="s">
        <v>1316</v>
      </c>
      <c r="C90" t="s">
        <v>1567</v>
      </c>
      <c r="D90" t="s">
        <v>1287</v>
      </c>
      <c r="E90" t="s">
        <v>1287</v>
      </c>
      <c r="F90" t="s">
        <v>1685</v>
      </c>
    </row>
    <row r="91" spans="2:6" x14ac:dyDescent="0.25">
      <c r="B91" t="s">
        <v>1323</v>
      </c>
      <c r="C91" t="s">
        <v>1571</v>
      </c>
      <c r="D91" t="s">
        <v>901</v>
      </c>
      <c r="E91" t="s">
        <v>901</v>
      </c>
      <c r="F91" t="s">
        <v>1686</v>
      </c>
    </row>
    <row r="92" spans="2:6" x14ac:dyDescent="0.25">
      <c r="B92" t="s">
        <v>1342</v>
      </c>
      <c r="C92" t="s">
        <v>1467</v>
      </c>
      <c r="D92" t="s">
        <v>1687</v>
      </c>
      <c r="E92" t="s">
        <v>1687</v>
      </c>
      <c r="F92" t="s">
        <v>1688</v>
      </c>
    </row>
    <row r="93" spans="2:6" x14ac:dyDescent="0.25">
      <c r="B93" t="s">
        <v>1353</v>
      </c>
      <c r="C93" t="s">
        <v>1362</v>
      </c>
      <c r="D93" t="s">
        <v>1689</v>
      </c>
      <c r="E93" t="s">
        <v>1689</v>
      </c>
      <c r="F93" t="s">
        <v>1690</v>
      </c>
    </row>
    <row r="94" spans="2:6" x14ac:dyDescent="0.25">
      <c r="B94" t="s">
        <v>1293</v>
      </c>
      <c r="C94" t="s">
        <v>1370</v>
      </c>
      <c r="D94" t="s">
        <v>1296</v>
      </c>
      <c r="E94" t="s">
        <v>1296</v>
      </c>
      <c r="F94" t="s">
        <v>1691</v>
      </c>
    </row>
    <row r="95" spans="2:6" x14ac:dyDescent="0.25">
      <c r="B95" t="s">
        <v>1668</v>
      </c>
      <c r="C95" t="s">
        <v>1692</v>
      </c>
      <c r="D95" t="s">
        <v>902</v>
      </c>
      <c r="E95" t="s">
        <v>902</v>
      </c>
      <c r="F95" t="s">
        <v>1693</v>
      </c>
    </row>
    <row r="96" spans="2:6" x14ac:dyDescent="0.25">
      <c r="B96" t="s">
        <v>1556</v>
      </c>
      <c r="C96" t="s">
        <v>1379</v>
      </c>
      <c r="D96" t="s">
        <v>1694</v>
      </c>
      <c r="E96" t="s">
        <v>1694</v>
      </c>
      <c r="F96" t="s">
        <v>1695</v>
      </c>
    </row>
    <row r="97" spans="2:6" x14ac:dyDescent="0.25">
      <c r="B97" t="s">
        <v>1561</v>
      </c>
      <c r="C97" t="s">
        <v>1389</v>
      </c>
      <c r="D97" t="s">
        <v>1696</v>
      </c>
      <c r="E97" t="s">
        <v>1696</v>
      </c>
      <c r="F97" t="s">
        <v>1697</v>
      </c>
    </row>
    <row r="98" spans="2:6" x14ac:dyDescent="0.25">
      <c r="B98" t="s">
        <v>856</v>
      </c>
      <c r="C98" t="s">
        <v>1698</v>
      </c>
      <c r="D98" t="s">
        <v>1699</v>
      </c>
      <c r="E98" t="s">
        <v>1699</v>
      </c>
      <c r="F98" t="s">
        <v>889</v>
      </c>
    </row>
    <row r="99" spans="2:6" x14ac:dyDescent="0.25">
      <c r="B99" t="s">
        <v>1567</v>
      </c>
      <c r="C99" t="s">
        <v>1700</v>
      </c>
      <c r="D99" t="s">
        <v>1701</v>
      </c>
      <c r="E99" t="s">
        <v>1701</v>
      </c>
      <c r="F99" t="s">
        <v>1702</v>
      </c>
    </row>
    <row r="100" spans="2:6" x14ac:dyDescent="0.25">
      <c r="B100" t="s">
        <v>1571</v>
      </c>
      <c r="C100" t="s">
        <v>1518</v>
      </c>
      <c r="D100" t="s">
        <v>1703</v>
      </c>
      <c r="E100" t="s">
        <v>1703</v>
      </c>
      <c r="F100" t="s">
        <v>1704</v>
      </c>
    </row>
    <row r="101" spans="2:6" x14ac:dyDescent="0.25">
      <c r="B101" t="s">
        <v>1705</v>
      </c>
      <c r="C101" t="s">
        <v>1524</v>
      </c>
      <c r="D101" t="s">
        <v>1706</v>
      </c>
      <c r="E101" t="s">
        <v>1706</v>
      </c>
      <c r="F101" t="s">
        <v>1707</v>
      </c>
    </row>
    <row r="102" spans="2:6" x14ac:dyDescent="0.25">
      <c r="B102" t="s">
        <v>1479</v>
      </c>
      <c r="C102" t="s">
        <v>1528</v>
      </c>
      <c r="D102" t="s">
        <v>1708</v>
      </c>
      <c r="E102" t="s">
        <v>1708</v>
      </c>
      <c r="F102" t="s">
        <v>1709</v>
      </c>
    </row>
    <row r="103" spans="2:6" x14ac:dyDescent="0.25">
      <c r="B103" t="s">
        <v>1492</v>
      </c>
      <c r="C103" t="s">
        <v>1533</v>
      </c>
      <c r="D103" t="s">
        <v>1710</v>
      </c>
      <c r="E103" t="s">
        <v>1710</v>
      </c>
      <c r="F103" t="s">
        <v>1711</v>
      </c>
    </row>
    <row r="104" spans="2:6" x14ac:dyDescent="0.25">
      <c r="B104" t="s">
        <v>1582</v>
      </c>
      <c r="C104" t="s">
        <v>1540</v>
      </c>
      <c r="D104" t="s">
        <v>1712</v>
      </c>
      <c r="E104" t="s">
        <v>1712</v>
      </c>
      <c r="F104" t="s">
        <v>1713</v>
      </c>
    </row>
    <row r="105" spans="2:6" x14ac:dyDescent="0.25">
      <c r="B105" t="s">
        <v>1418</v>
      </c>
      <c r="C105" t="s">
        <v>1397</v>
      </c>
      <c r="D105" t="s">
        <v>1714</v>
      </c>
      <c r="E105" t="s">
        <v>1714</v>
      </c>
      <c r="F105" t="s">
        <v>1715</v>
      </c>
    </row>
    <row r="106" spans="2:6" x14ac:dyDescent="0.25">
      <c r="B106" t="s">
        <v>1426</v>
      </c>
      <c r="C106" t="s">
        <v>1406</v>
      </c>
      <c r="D106" t="s">
        <v>1716</v>
      </c>
      <c r="E106" t="s">
        <v>1716</v>
      </c>
      <c r="F106" t="s">
        <v>1717</v>
      </c>
    </row>
    <row r="107" spans="2:6" x14ac:dyDescent="0.25">
      <c r="B107" t="s">
        <v>1718</v>
      </c>
      <c r="C107" t="s">
        <v>1415</v>
      </c>
      <c r="D107" t="s">
        <v>1719</v>
      </c>
      <c r="E107" t="s">
        <v>1719</v>
      </c>
      <c r="F107" t="s">
        <v>895</v>
      </c>
    </row>
    <row r="108" spans="2:6" x14ac:dyDescent="0.25">
      <c r="B108" t="s">
        <v>1486</v>
      </c>
      <c r="C108" t="s">
        <v>1423</v>
      </c>
      <c r="D108" t="s">
        <v>1720</v>
      </c>
      <c r="E108" t="s">
        <v>1720</v>
      </c>
      <c r="F108" t="s">
        <v>897</v>
      </c>
    </row>
    <row r="109" spans="2:6" x14ac:dyDescent="0.25">
      <c r="B109" t="s">
        <v>858</v>
      </c>
      <c r="C109" t="s">
        <v>1432</v>
      </c>
      <c r="D109" t="s">
        <v>1721</v>
      </c>
      <c r="E109" t="s">
        <v>1721</v>
      </c>
      <c r="F109" t="s">
        <v>1722</v>
      </c>
    </row>
    <row r="110" spans="2:6" x14ac:dyDescent="0.25">
      <c r="B110" t="s">
        <v>860</v>
      </c>
      <c r="C110" t="s">
        <v>1440</v>
      </c>
      <c r="D110" t="s">
        <v>1723</v>
      </c>
      <c r="E110" t="s">
        <v>1723</v>
      </c>
      <c r="F110" t="s">
        <v>1724</v>
      </c>
    </row>
    <row r="111" spans="2:6" x14ac:dyDescent="0.25">
      <c r="B111" t="s">
        <v>766</v>
      </c>
      <c r="C111" t="s">
        <v>1446</v>
      </c>
      <c r="D111" t="s">
        <v>1725</v>
      </c>
      <c r="E111" t="s">
        <v>1725</v>
      </c>
      <c r="F111" t="s">
        <v>1726</v>
      </c>
    </row>
    <row r="112" spans="2:6" x14ac:dyDescent="0.25">
      <c r="B112" t="s">
        <v>863</v>
      </c>
      <c r="C112" t="s">
        <v>1454</v>
      </c>
      <c r="D112" t="s">
        <v>1255</v>
      </c>
      <c r="F112" t="s">
        <v>1727</v>
      </c>
    </row>
    <row r="113" spans="2:6" x14ac:dyDescent="0.25">
      <c r="B113" t="s">
        <v>1728</v>
      </c>
      <c r="C113" t="s">
        <v>1460</v>
      </c>
      <c r="D113" t="s">
        <v>1264</v>
      </c>
      <c r="F113" t="s">
        <v>1729</v>
      </c>
    </row>
    <row r="114" spans="2:6" x14ac:dyDescent="0.25">
      <c r="B114" t="s">
        <v>1598</v>
      </c>
      <c r="C114" t="s">
        <v>1465</v>
      </c>
      <c r="D114" t="s">
        <v>670</v>
      </c>
      <c r="F114" t="s">
        <v>1730</v>
      </c>
    </row>
    <row r="115" spans="2:6" x14ac:dyDescent="0.25">
      <c r="B115" t="s">
        <v>1170</v>
      </c>
      <c r="C115" t="s">
        <v>1471</v>
      </c>
      <c r="D115" t="s">
        <v>1281</v>
      </c>
      <c r="F115" t="s">
        <v>1731</v>
      </c>
    </row>
    <row r="116" spans="2:6" x14ac:dyDescent="0.25">
      <c r="B116" t="s">
        <v>1309</v>
      </c>
      <c r="C116" t="s">
        <v>1477</v>
      </c>
      <c r="D116" t="s">
        <v>1290</v>
      </c>
      <c r="F116" t="s">
        <v>1732</v>
      </c>
    </row>
    <row r="117" spans="2:6" x14ac:dyDescent="0.25">
      <c r="B117" t="s">
        <v>1318</v>
      </c>
      <c r="C117" t="s">
        <v>1483</v>
      </c>
      <c r="D117" t="s">
        <v>1300</v>
      </c>
      <c r="F117" t="s">
        <v>1733</v>
      </c>
    </row>
    <row r="118" spans="2:6" x14ac:dyDescent="0.25">
      <c r="B118" t="s">
        <v>1325</v>
      </c>
      <c r="C118" t="s">
        <v>1048</v>
      </c>
      <c r="D118" t="s">
        <v>824</v>
      </c>
      <c r="F118" t="s">
        <v>1734</v>
      </c>
    </row>
    <row r="119" spans="2:6" x14ac:dyDescent="0.25">
      <c r="B119" t="s">
        <v>865</v>
      </c>
      <c r="C119" t="s">
        <v>1491</v>
      </c>
      <c r="D119" t="s">
        <v>1315</v>
      </c>
      <c r="F119" t="s">
        <v>1735</v>
      </c>
    </row>
    <row r="120" spans="2:6" x14ac:dyDescent="0.25">
      <c r="B120" t="s">
        <v>1736</v>
      </c>
      <c r="C120" t="s">
        <v>1495</v>
      </c>
      <c r="D120" t="s">
        <v>1322</v>
      </c>
      <c r="F120" t="s">
        <v>1737</v>
      </c>
    </row>
    <row r="121" spans="2:6" x14ac:dyDescent="0.25">
      <c r="B121" t="s">
        <v>867</v>
      </c>
      <c r="C121" t="s">
        <v>1705</v>
      </c>
      <c r="D121" t="s">
        <v>1331</v>
      </c>
      <c r="F121" t="s">
        <v>1738</v>
      </c>
    </row>
    <row r="122" spans="2:6" x14ac:dyDescent="0.25">
      <c r="B122" t="s">
        <v>868</v>
      </c>
      <c r="C122" t="s">
        <v>1739</v>
      </c>
      <c r="D122" t="s">
        <v>1341</v>
      </c>
      <c r="F122" t="s">
        <v>1740</v>
      </c>
    </row>
    <row r="123" spans="2:6" x14ac:dyDescent="0.25">
      <c r="B123" t="s">
        <v>870</v>
      </c>
      <c r="C123" t="s">
        <v>1741</v>
      </c>
      <c r="D123" t="s">
        <v>1352</v>
      </c>
      <c r="F123" t="s">
        <v>1742</v>
      </c>
    </row>
    <row r="124" spans="2:6" x14ac:dyDescent="0.25">
      <c r="B124" t="s">
        <v>872</v>
      </c>
      <c r="C124" t="s">
        <v>1743</v>
      </c>
      <c r="D124" t="s">
        <v>1361</v>
      </c>
      <c r="F124" t="s">
        <v>1744</v>
      </c>
    </row>
    <row r="125" spans="2:6" x14ac:dyDescent="0.25">
      <c r="B125" t="s">
        <v>1602</v>
      </c>
      <c r="C125" t="s">
        <v>1745</v>
      </c>
      <c r="D125" t="s">
        <v>1369</v>
      </c>
      <c r="F125" t="s">
        <v>1746</v>
      </c>
    </row>
    <row r="126" spans="2:6" x14ac:dyDescent="0.25">
      <c r="B126" t="s">
        <v>1747</v>
      </c>
      <c r="C126" t="s">
        <v>1479</v>
      </c>
      <c r="D126" t="s">
        <v>1378</v>
      </c>
      <c r="F126" t="s">
        <v>1748</v>
      </c>
    </row>
    <row r="127" spans="2:6" x14ac:dyDescent="0.25">
      <c r="B127" t="s">
        <v>17</v>
      </c>
      <c r="C127" t="s">
        <v>1492</v>
      </c>
      <c r="D127" t="s">
        <v>1388</v>
      </c>
      <c r="F127" t="s">
        <v>1749</v>
      </c>
    </row>
    <row r="128" spans="2:6" x14ac:dyDescent="0.25">
      <c r="B128" t="s">
        <v>1563</v>
      </c>
      <c r="C128" t="s">
        <v>1582</v>
      </c>
      <c r="D128" t="s">
        <v>838</v>
      </c>
      <c r="F128" t="s">
        <v>904</v>
      </c>
    </row>
    <row r="129" spans="2:6" x14ac:dyDescent="0.25">
      <c r="B129" t="s">
        <v>1566</v>
      </c>
      <c r="C129" t="s">
        <v>1418</v>
      </c>
      <c r="D129" t="s">
        <v>840</v>
      </c>
      <c r="F129" t="s">
        <v>1750</v>
      </c>
    </row>
    <row r="130" spans="2:6" x14ac:dyDescent="0.25">
      <c r="B130" t="s">
        <v>1751</v>
      </c>
      <c r="C130" t="s">
        <v>1426</v>
      </c>
      <c r="D130" t="s">
        <v>1414</v>
      </c>
      <c r="F130" t="s">
        <v>908</v>
      </c>
    </row>
    <row r="131" spans="2:6" x14ac:dyDescent="0.25">
      <c r="B131" t="s">
        <v>1752</v>
      </c>
      <c r="C131" t="s">
        <v>1718</v>
      </c>
      <c r="D131" t="s">
        <v>1422</v>
      </c>
      <c r="F131" t="s">
        <v>1753</v>
      </c>
    </row>
    <row r="132" spans="2:6" x14ac:dyDescent="0.25">
      <c r="B132" t="s">
        <v>1754</v>
      </c>
      <c r="C132" t="s">
        <v>1486</v>
      </c>
      <c r="D132" t="s">
        <v>1431</v>
      </c>
      <c r="F132" t="s">
        <v>1755</v>
      </c>
    </row>
    <row r="133" spans="2:6" x14ac:dyDescent="0.25">
      <c r="B133" t="s">
        <v>1570</v>
      </c>
      <c r="C133" t="s">
        <v>1508</v>
      </c>
      <c r="D133" t="s">
        <v>1439</v>
      </c>
      <c r="F133" t="s">
        <v>1756</v>
      </c>
    </row>
    <row r="134" spans="2:6" x14ac:dyDescent="0.25">
      <c r="B134" t="s">
        <v>1574</v>
      </c>
      <c r="C134" t="s">
        <v>858</v>
      </c>
      <c r="D134" t="s">
        <v>1445</v>
      </c>
      <c r="F134" t="s">
        <v>911</v>
      </c>
    </row>
    <row r="135" spans="2:6" x14ac:dyDescent="0.25">
      <c r="B135" t="s">
        <v>875</v>
      </c>
      <c r="C135" t="s">
        <v>1757</v>
      </c>
      <c r="D135" t="s">
        <v>1453</v>
      </c>
      <c r="F135" t="s">
        <v>1758</v>
      </c>
    </row>
    <row r="136" spans="2:6" x14ac:dyDescent="0.25">
      <c r="B136" t="s">
        <v>1616</v>
      </c>
      <c r="C136" t="s">
        <v>1501</v>
      </c>
      <c r="D136" t="s">
        <v>1459</v>
      </c>
      <c r="F136" t="s">
        <v>1759</v>
      </c>
    </row>
    <row r="137" spans="2:6" x14ac:dyDescent="0.25">
      <c r="B137" t="s">
        <v>879</v>
      </c>
      <c r="C137" t="s">
        <v>1501</v>
      </c>
      <c r="D137" t="s">
        <v>846</v>
      </c>
      <c r="F137" t="s">
        <v>1760</v>
      </c>
    </row>
    <row r="138" spans="2:6" x14ac:dyDescent="0.25">
      <c r="B138" t="s">
        <v>1638</v>
      </c>
      <c r="C138" t="s">
        <v>1761</v>
      </c>
      <c r="D138" t="s">
        <v>1470</v>
      </c>
      <c r="F138" t="s">
        <v>1762</v>
      </c>
    </row>
    <row r="139" spans="2:6" x14ac:dyDescent="0.25">
      <c r="B139" t="s">
        <v>1641</v>
      </c>
      <c r="C139" t="s">
        <v>860</v>
      </c>
      <c r="D139" t="s">
        <v>1476</v>
      </c>
      <c r="F139" t="s">
        <v>1763</v>
      </c>
    </row>
    <row r="140" spans="2:6" x14ac:dyDescent="0.25">
      <c r="B140" t="s">
        <v>1764</v>
      </c>
      <c r="C140" t="s">
        <v>766</v>
      </c>
      <c r="D140" t="s">
        <v>1482</v>
      </c>
      <c r="F140" t="s">
        <v>1765</v>
      </c>
    </row>
    <row r="141" spans="2:6" x14ac:dyDescent="0.25">
      <c r="B141" t="s">
        <v>883</v>
      </c>
      <c r="C141" t="s">
        <v>863</v>
      </c>
      <c r="D141" t="s">
        <v>854</v>
      </c>
      <c r="F141" t="s">
        <v>1766</v>
      </c>
    </row>
    <row r="142" spans="2:6" x14ac:dyDescent="0.25">
      <c r="B142" t="s">
        <v>885</v>
      </c>
      <c r="C142" t="s">
        <v>1728</v>
      </c>
      <c r="D142" t="s">
        <v>1490</v>
      </c>
      <c r="F142" t="s">
        <v>919</v>
      </c>
    </row>
    <row r="143" spans="2:6" x14ac:dyDescent="0.25">
      <c r="B143" t="s">
        <v>1667</v>
      </c>
      <c r="C143" t="s">
        <v>1598</v>
      </c>
      <c r="D143" t="s">
        <v>1494</v>
      </c>
      <c r="F143" t="s">
        <v>1767</v>
      </c>
    </row>
    <row r="144" spans="2:6" x14ac:dyDescent="0.25">
      <c r="B144" t="s">
        <v>1676</v>
      </c>
      <c r="C144" t="s">
        <v>1170</v>
      </c>
      <c r="D144" t="s">
        <v>1500</v>
      </c>
      <c r="F144" t="s">
        <v>1768</v>
      </c>
    </row>
    <row r="145" spans="2:6" x14ac:dyDescent="0.25">
      <c r="B145" t="s">
        <v>1691</v>
      </c>
      <c r="C145" t="s">
        <v>1309</v>
      </c>
      <c r="D145" t="s">
        <v>1506</v>
      </c>
      <c r="F145" t="s">
        <v>1769</v>
      </c>
    </row>
    <row r="146" spans="2:6" x14ac:dyDescent="0.25">
      <c r="B146" t="s">
        <v>1770</v>
      </c>
      <c r="C146" t="s">
        <v>1318</v>
      </c>
      <c r="D146" t="s">
        <v>1512</v>
      </c>
      <c r="F146" t="s">
        <v>1771</v>
      </c>
    </row>
    <row r="147" spans="2:6" x14ac:dyDescent="0.25">
      <c r="B147" t="s">
        <v>1581</v>
      </c>
      <c r="C147" t="s">
        <v>1325</v>
      </c>
      <c r="D147" t="s">
        <v>1518</v>
      </c>
      <c r="F147" t="s">
        <v>1772</v>
      </c>
    </row>
    <row r="148" spans="2:6" x14ac:dyDescent="0.25">
      <c r="B148" t="s">
        <v>887</v>
      </c>
      <c r="C148" t="s">
        <v>865</v>
      </c>
      <c r="D148" t="s">
        <v>1524</v>
      </c>
      <c r="F148" t="s">
        <v>1773</v>
      </c>
    </row>
    <row r="149" spans="2:6" x14ac:dyDescent="0.25">
      <c r="B149" t="s">
        <v>1588</v>
      </c>
      <c r="C149" t="s">
        <v>1736</v>
      </c>
      <c r="D149" t="s">
        <v>1528</v>
      </c>
      <c r="F149" t="s">
        <v>1774</v>
      </c>
    </row>
    <row r="150" spans="2:6" x14ac:dyDescent="0.25">
      <c r="B150" t="s">
        <v>1697</v>
      </c>
      <c r="C150" t="s">
        <v>867</v>
      </c>
      <c r="D150" t="s">
        <v>1533</v>
      </c>
      <c r="F150" t="s">
        <v>1775</v>
      </c>
    </row>
    <row r="151" spans="2:6" x14ac:dyDescent="0.25">
      <c r="B151" t="s">
        <v>889</v>
      </c>
      <c r="C151" t="s">
        <v>868</v>
      </c>
      <c r="D151" t="s">
        <v>1540</v>
      </c>
      <c r="F151" t="s">
        <v>1776</v>
      </c>
    </row>
    <row r="152" spans="2:6" x14ac:dyDescent="0.25">
      <c r="B152" t="s">
        <v>1702</v>
      </c>
      <c r="C152" t="s">
        <v>868</v>
      </c>
      <c r="D152" t="s">
        <v>1547</v>
      </c>
      <c r="F152" t="s">
        <v>1777</v>
      </c>
    </row>
    <row r="153" spans="2:6" x14ac:dyDescent="0.25">
      <c r="B153" t="s">
        <v>1704</v>
      </c>
      <c r="C153" t="s">
        <v>870</v>
      </c>
      <c r="D153" t="s">
        <v>1553</v>
      </c>
    </row>
    <row r="154" spans="2:6" x14ac:dyDescent="0.25">
      <c r="B154" t="s">
        <v>1707</v>
      </c>
      <c r="C154" t="s">
        <v>870</v>
      </c>
      <c r="D154" t="s">
        <v>1557</v>
      </c>
    </row>
    <row r="155" spans="2:6" x14ac:dyDescent="0.25">
      <c r="B155" t="s">
        <v>891</v>
      </c>
      <c r="C155" t="s">
        <v>872</v>
      </c>
      <c r="D155" t="s">
        <v>860</v>
      </c>
    </row>
    <row r="156" spans="2:6" x14ac:dyDescent="0.25">
      <c r="B156" t="s">
        <v>893</v>
      </c>
      <c r="C156" t="s">
        <v>1602</v>
      </c>
      <c r="D156" t="s">
        <v>766</v>
      </c>
    </row>
    <row r="157" spans="2:6" x14ac:dyDescent="0.25">
      <c r="B157" t="s">
        <v>1669</v>
      </c>
      <c r="C157" t="s">
        <v>1747</v>
      </c>
      <c r="D157" t="s">
        <v>1568</v>
      </c>
    </row>
    <row r="158" spans="2:6" x14ac:dyDescent="0.25">
      <c r="B158" t="s">
        <v>1672</v>
      </c>
      <c r="C158" t="s">
        <v>17</v>
      </c>
      <c r="D158" t="s">
        <v>863</v>
      </c>
    </row>
    <row r="159" spans="2:6" x14ac:dyDescent="0.25">
      <c r="B159" t="s">
        <v>1778</v>
      </c>
      <c r="C159" t="s">
        <v>1563</v>
      </c>
      <c r="D159" t="s">
        <v>1170</v>
      </c>
    </row>
    <row r="160" spans="2:6" x14ac:dyDescent="0.25">
      <c r="B160" t="s">
        <v>895</v>
      </c>
      <c r="C160" t="s">
        <v>1566</v>
      </c>
      <c r="D160" t="s">
        <v>870</v>
      </c>
    </row>
    <row r="161" spans="2:4" x14ac:dyDescent="0.25">
      <c r="B161" t="s">
        <v>897</v>
      </c>
      <c r="C161" t="s">
        <v>1751</v>
      </c>
      <c r="D161" t="s">
        <v>1583</v>
      </c>
    </row>
    <row r="162" spans="2:4" x14ac:dyDescent="0.25">
      <c r="B162" t="s">
        <v>1729</v>
      </c>
      <c r="C162" t="s">
        <v>1752</v>
      </c>
      <c r="D162" t="s">
        <v>1586</v>
      </c>
    </row>
    <row r="163" spans="2:4" x14ac:dyDescent="0.25">
      <c r="B163" t="s">
        <v>1730</v>
      </c>
      <c r="C163" t="s">
        <v>1754</v>
      </c>
      <c r="D163" t="s">
        <v>872</v>
      </c>
    </row>
    <row r="164" spans="2:4" x14ac:dyDescent="0.25">
      <c r="B164" t="s">
        <v>1731</v>
      </c>
      <c r="C164" t="s">
        <v>1570</v>
      </c>
      <c r="D164" t="s">
        <v>1592</v>
      </c>
    </row>
    <row r="165" spans="2:4" x14ac:dyDescent="0.25">
      <c r="B165" t="s">
        <v>1732</v>
      </c>
      <c r="C165" t="s">
        <v>1574</v>
      </c>
      <c r="D165" t="s">
        <v>1596</v>
      </c>
    </row>
    <row r="166" spans="2:4" x14ac:dyDescent="0.25">
      <c r="B166" t="s">
        <v>1733</v>
      </c>
      <c r="C166" t="s">
        <v>875</v>
      </c>
      <c r="D166" t="s">
        <v>1599</v>
      </c>
    </row>
    <row r="167" spans="2:4" x14ac:dyDescent="0.25">
      <c r="B167" t="s">
        <v>1678</v>
      </c>
      <c r="C167" t="s">
        <v>1616</v>
      </c>
      <c r="D167" t="s">
        <v>1602</v>
      </c>
    </row>
    <row r="168" spans="2:4" x14ac:dyDescent="0.25">
      <c r="B168" t="s">
        <v>899</v>
      </c>
      <c r="C168" t="s">
        <v>1632</v>
      </c>
      <c r="D168" t="s">
        <v>1605</v>
      </c>
    </row>
    <row r="169" spans="2:4" x14ac:dyDescent="0.25">
      <c r="B169" t="s">
        <v>1529</v>
      </c>
      <c r="C169" t="s">
        <v>877</v>
      </c>
      <c r="D169" t="s">
        <v>1609</v>
      </c>
    </row>
    <row r="170" spans="2:4" x14ac:dyDescent="0.25">
      <c r="B170" t="s">
        <v>1534</v>
      </c>
      <c r="C170" t="s">
        <v>877</v>
      </c>
      <c r="D170" t="s">
        <v>1612</v>
      </c>
    </row>
    <row r="171" spans="2:4" x14ac:dyDescent="0.25">
      <c r="B171" t="s">
        <v>1541</v>
      </c>
      <c r="C171" t="s">
        <v>879</v>
      </c>
      <c r="D171" t="s">
        <v>1615</v>
      </c>
    </row>
    <row r="172" spans="2:4" x14ac:dyDescent="0.25">
      <c r="B172" t="s">
        <v>1548</v>
      </c>
      <c r="C172" t="s">
        <v>1638</v>
      </c>
      <c r="D172" t="s">
        <v>1617</v>
      </c>
    </row>
    <row r="173" spans="2:4" x14ac:dyDescent="0.25">
      <c r="B173" t="s">
        <v>1554</v>
      </c>
      <c r="C173" t="s">
        <v>1641</v>
      </c>
      <c r="D173" t="s">
        <v>1620</v>
      </c>
    </row>
    <row r="174" spans="2:4" x14ac:dyDescent="0.25">
      <c r="B174" t="s">
        <v>1682</v>
      </c>
      <c r="C174" t="s">
        <v>1657</v>
      </c>
      <c r="D174" t="s">
        <v>1623</v>
      </c>
    </row>
    <row r="175" spans="2:4" x14ac:dyDescent="0.25">
      <c r="B175" t="s">
        <v>1278</v>
      </c>
      <c r="C175" t="s">
        <v>1657</v>
      </c>
      <c r="D175" t="s">
        <v>1627</v>
      </c>
    </row>
    <row r="176" spans="2:4" x14ac:dyDescent="0.25">
      <c r="B176" t="s">
        <v>1287</v>
      </c>
      <c r="C176" t="s">
        <v>1764</v>
      </c>
      <c r="D176" t="s">
        <v>1631</v>
      </c>
    </row>
    <row r="177" spans="2:4" x14ac:dyDescent="0.25">
      <c r="B177" t="s">
        <v>901</v>
      </c>
      <c r="C177" t="s">
        <v>883</v>
      </c>
      <c r="D177" t="s">
        <v>1633</v>
      </c>
    </row>
    <row r="178" spans="2:4" x14ac:dyDescent="0.25">
      <c r="B178" t="s">
        <v>1296</v>
      </c>
      <c r="C178" t="s">
        <v>885</v>
      </c>
      <c r="D178" t="s">
        <v>1634</v>
      </c>
    </row>
    <row r="179" spans="2:4" x14ac:dyDescent="0.25">
      <c r="B179" t="s">
        <v>902</v>
      </c>
      <c r="C179" t="s">
        <v>1667</v>
      </c>
      <c r="D179" t="s">
        <v>1636</v>
      </c>
    </row>
    <row r="180" spans="2:4" x14ac:dyDescent="0.25">
      <c r="B180" t="s">
        <v>803</v>
      </c>
      <c r="C180" t="s">
        <v>1676</v>
      </c>
      <c r="D180" t="s">
        <v>1639</v>
      </c>
    </row>
    <row r="181" spans="2:4" x14ac:dyDescent="0.25">
      <c r="B181" t="s">
        <v>1328</v>
      </c>
      <c r="C181" t="s">
        <v>1779</v>
      </c>
      <c r="D181" t="s">
        <v>1642</v>
      </c>
    </row>
    <row r="182" spans="2:4" x14ac:dyDescent="0.25">
      <c r="B182" t="s">
        <v>1338</v>
      </c>
      <c r="C182" t="s">
        <v>1691</v>
      </c>
      <c r="D182" t="s">
        <v>1645</v>
      </c>
    </row>
    <row r="183" spans="2:4" x14ac:dyDescent="0.25">
      <c r="B183" t="s">
        <v>1348</v>
      </c>
      <c r="C183" t="s">
        <v>1770</v>
      </c>
      <c r="D183" t="s">
        <v>1648</v>
      </c>
    </row>
    <row r="184" spans="2:4" x14ac:dyDescent="0.25">
      <c r="B184" t="s">
        <v>1737</v>
      </c>
      <c r="C184" t="s">
        <v>1581</v>
      </c>
      <c r="D184" t="s">
        <v>1651</v>
      </c>
    </row>
    <row r="185" spans="2:4" x14ac:dyDescent="0.25">
      <c r="B185" t="s">
        <v>1509</v>
      </c>
      <c r="C185" t="s">
        <v>887</v>
      </c>
      <c r="D185" t="s">
        <v>1653</v>
      </c>
    </row>
    <row r="186" spans="2:4" x14ac:dyDescent="0.25">
      <c r="B186" t="s">
        <v>1748</v>
      </c>
      <c r="C186" t="s">
        <v>1588</v>
      </c>
      <c r="D186" t="s">
        <v>1656</v>
      </c>
    </row>
    <row r="187" spans="2:4" x14ac:dyDescent="0.25">
      <c r="B187" t="s">
        <v>1749</v>
      </c>
      <c r="C187" t="s">
        <v>1697</v>
      </c>
      <c r="D187" t="s">
        <v>1658</v>
      </c>
    </row>
    <row r="188" spans="2:4" x14ac:dyDescent="0.25">
      <c r="B188" t="s">
        <v>904</v>
      </c>
      <c r="C188" t="s">
        <v>889</v>
      </c>
      <c r="D188" t="s">
        <v>1661</v>
      </c>
    </row>
    <row r="189" spans="2:4" x14ac:dyDescent="0.25">
      <c r="B189" t="s">
        <v>1750</v>
      </c>
      <c r="C189" t="s">
        <v>1702</v>
      </c>
      <c r="D189" t="s">
        <v>1665</v>
      </c>
    </row>
    <row r="190" spans="2:4" x14ac:dyDescent="0.25">
      <c r="B190" t="s">
        <v>906</v>
      </c>
      <c r="C190" t="s">
        <v>1704</v>
      </c>
      <c r="D190" t="s">
        <v>1667</v>
      </c>
    </row>
    <row r="191" spans="2:4" x14ac:dyDescent="0.25">
      <c r="B191" t="s">
        <v>908</v>
      </c>
      <c r="C191" t="s">
        <v>1707</v>
      </c>
      <c r="D191" t="s">
        <v>1670</v>
      </c>
    </row>
    <row r="192" spans="2:4" x14ac:dyDescent="0.25">
      <c r="B192" t="s">
        <v>910</v>
      </c>
      <c r="C192" t="s">
        <v>891</v>
      </c>
      <c r="D192" t="s">
        <v>1673</v>
      </c>
    </row>
    <row r="193" spans="2:4" x14ac:dyDescent="0.25">
      <c r="B193" t="s">
        <v>911</v>
      </c>
      <c r="C193" t="s">
        <v>893</v>
      </c>
      <c r="D193" t="s">
        <v>1676</v>
      </c>
    </row>
    <row r="194" spans="2:4" x14ac:dyDescent="0.25">
      <c r="B194" t="s">
        <v>1780</v>
      </c>
      <c r="C194" t="s">
        <v>1669</v>
      </c>
      <c r="D194" t="s">
        <v>1679</v>
      </c>
    </row>
    <row r="195" spans="2:4" x14ac:dyDescent="0.25">
      <c r="B195" t="s">
        <v>1760</v>
      </c>
      <c r="C195" t="s">
        <v>1672</v>
      </c>
      <c r="D195" t="s">
        <v>1681</v>
      </c>
    </row>
    <row r="196" spans="2:4" x14ac:dyDescent="0.25">
      <c r="B196" t="s">
        <v>1781</v>
      </c>
      <c r="C196" t="s">
        <v>1778</v>
      </c>
      <c r="D196" t="s">
        <v>1683</v>
      </c>
    </row>
    <row r="197" spans="2:4" x14ac:dyDescent="0.25">
      <c r="B197" t="s">
        <v>1782</v>
      </c>
      <c r="C197" t="s">
        <v>1717</v>
      </c>
      <c r="D197" t="s">
        <v>1684</v>
      </c>
    </row>
    <row r="198" spans="2:4" x14ac:dyDescent="0.25">
      <c r="B198" t="s">
        <v>1783</v>
      </c>
      <c r="C198" t="s">
        <v>895</v>
      </c>
      <c r="D198" t="s">
        <v>1685</v>
      </c>
    </row>
    <row r="199" spans="2:4" x14ac:dyDescent="0.25">
      <c r="B199" t="s">
        <v>1784</v>
      </c>
      <c r="C199" t="s">
        <v>897</v>
      </c>
      <c r="D199" t="s">
        <v>1686</v>
      </c>
    </row>
    <row r="200" spans="2:4" x14ac:dyDescent="0.25">
      <c r="B200" t="s">
        <v>1785</v>
      </c>
      <c r="C200" t="s">
        <v>1729</v>
      </c>
      <c r="D200" t="s">
        <v>1688</v>
      </c>
    </row>
    <row r="201" spans="2:4" x14ac:dyDescent="0.25">
      <c r="B201" t="s">
        <v>917</v>
      </c>
      <c r="C201" t="s">
        <v>1730</v>
      </c>
      <c r="D201" t="s">
        <v>1690</v>
      </c>
    </row>
    <row r="202" spans="2:4" x14ac:dyDescent="0.25">
      <c r="B202" t="s">
        <v>1763</v>
      </c>
      <c r="C202" t="s">
        <v>1731</v>
      </c>
      <c r="D202" t="s">
        <v>1691</v>
      </c>
    </row>
    <row r="203" spans="2:4" x14ac:dyDescent="0.25">
      <c r="B203" t="s">
        <v>1765</v>
      </c>
      <c r="C203" t="s">
        <v>1732</v>
      </c>
      <c r="D203" t="s">
        <v>1693</v>
      </c>
    </row>
    <row r="204" spans="2:4" x14ac:dyDescent="0.25">
      <c r="B204" t="s">
        <v>1786</v>
      </c>
      <c r="C204" t="s">
        <v>1733</v>
      </c>
      <c r="D204" t="s">
        <v>1695</v>
      </c>
    </row>
    <row r="205" spans="2:4" x14ac:dyDescent="0.25">
      <c r="B205" t="s">
        <v>919</v>
      </c>
      <c r="C205" t="s">
        <v>1678</v>
      </c>
      <c r="D205" t="s">
        <v>1697</v>
      </c>
    </row>
    <row r="206" spans="2:4" x14ac:dyDescent="0.25">
      <c r="B206" t="s">
        <v>1772</v>
      </c>
      <c r="C206" t="s">
        <v>1498</v>
      </c>
      <c r="D206" t="s">
        <v>889</v>
      </c>
    </row>
    <row r="207" spans="2:4" x14ac:dyDescent="0.25">
      <c r="B207" t="s">
        <v>1773</v>
      </c>
      <c r="C207" t="s">
        <v>899</v>
      </c>
      <c r="D207" t="s">
        <v>1702</v>
      </c>
    </row>
    <row r="208" spans="2:4" x14ac:dyDescent="0.25">
      <c r="B208" t="s">
        <v>1565</v>
      </c>
      <c r="C208" t="s">
        <v>1534</v>
      </c>
      <c r="D208" t="s">
        <v>1704</v>
      </c>
    </row>
    <row r="209" spans="2:4" x14ac:dyDescent="0.25">
      <c r="B209" t="s">
        <v>1569</v>
      </c>
      <c r="C209" t="s">
        <v>1554</v>
      </c>
      <c r="D209" t="s">
        <v>1707</v>
      </c>
    </row>
    <row r="210" spans="2:4" x14ac:dyDescent="0.25">
      <c r="B210" t="s">
        <v>1572</v>
      </c>
      <c r="C210" t="s">
        <v>1682</v>
      </c>
      <c r="D210" t="s">
        <v>1709</v>
      </c>
    </row>
    <row r="211" spans="2:4" x14ac:dyDescent="0.25">
      <c r="B211" t="s">
        <v>1577</v>
      </c>
      <c r="C211" t="s">
        <v>1278</v>
      </c>
      <c r="D211" t="s">
        <v>1711</v>
      </c>
    </row>
    <row r="212" spans="2:4" x14ac:dyDescent="0.25">
      <c r="B212" t="s">
        <v>1584</v>
      </c>
      <c r="C212" t="s">
        <v>1287</v>
      </c>
      <c r="D212" t="s">
        <v>1713</v>
      </c>
    </row>
    <row r="213" spans="2:4" x14ac:dyDescent="0.25">
      <c r="B213" t="s">
        <v>1714</v>
      </c>
      <c r="C213" t="s">
        <v>901</v>
      </c>
      <c r="D213" t="s">
        <v>1715</v>
      </c>
    </row>
    <row r="214" spans="2:4" x14ac:dyDescent="0.25">
      <c r="B214" t="s">
        <v>1787</v>
      </c>
      <c r="C214" t="s">
        <v>1296</v>
      </c>
      <c r="D214" t="s">
        <v>1717</v>
      </c>
    </row>
    <row r="215" spans="2:4" x14ac:dyDescent="0.25">
      <c r="B215" t="s">
        <v>1776</v>
      </c>
      <c r="C215" t="s">
        <v>902</v>
      </c>
      <c r="D215" t="s">
        <v>895</v>
      </c>
    </row>
    <row r="216" spans="2:4" x14ac:dyDescent="0.25">
      <c r="B216" t="s">
        <v>1788</v>
      </c>
      <c r="C216" t="s">
        <v>803</v>
      </c>
      <c r="D216" t="s">
        <v>897</v>
      </c>
    </row>
    <row r="217" spans="2:4" x14ac:dyDescent="0.25">
      <c r="B217" t="s">
        <v>1789</v>
      </c>
      <c r="C217" t="s">
        <v>1328</v>
      </c>
      <c r="D217" t="s">
        <v>1722</v>
      </c>
    </row>
    <row r="218" spans="2:4" x14ac:dyDescent="0.25">
      <c r="B218" t="s">
        <v>1790</v>
      </c>
      <c r="C218" t="s">
        <v>1338</v>
      </c>
      <c r="D218" t="s">
        <v>1724</v>
      </c>
    </row>
    <row r="219" spans="2:4" x14ac:dyDescent="0.25">
      <c r="B219" t="s">
        <v>1628</v>
      </c>
      <c r="C219" t="s">
        <v>1348</v>
      </c>
      <c r="D219" t="s">
        <v>1726</v>
      </c>
    </row>
    <row r="220" spans="2:4" x14ac:dyDescent="0.25">
      <c r="B220" t="s">
        <v>1791</v>
      </c>
      <c r="C220" t="s">
        <v>1737</v>
      </c>
      <c r="D220" t="s">
        <v>1727</v>
      </c>
    </row>
    <row r="221" spans="2:4" x14ac:dyDescent="0.25">
      <c r="B221" t="s">
        <v>1792</v>
      </c>
      <c r="C221" t="s">
        <v>1793</v>
      </c>
      <c r="D221" t="s">
        <v>1729</v>
      </c>
    </row>
    <row r="222" spans="2:4" x14ac:dyDescent="0.25">
      <c r="B222" t="s">
        <v>921</v>
      </c>
      <c r="C222" t="s">
        <v>1509</v>
      </c>
      <c r="D222" t="s">
        <v>1730</v>
      </c>
    </row>
    <row r="223" spans="2:4" x14ac:dyDescent="0.25">
      <c r="B223" t="s">
        <v>1307</v>
      </c>
      <c r="C223" t="s">
        <v>1748</v>
      </c>
      <c r="D223" t="s">
        <v>1731</v>
      </c>
    </row>
    <row r="224" spans="2:4" x14ac:dyDescent="0.25">
      <c r="B224" t="s">
        <v>1300</v>
      </c>
      <c r="C224" t="s">
        <v>1749</v>
      </c>
      <c r="D224" t="s">
        <v>1732</v>
      </c>
    </row>
    <row r="225" spans="2:4" x14ac:dyDescent="0.25">
      <c r="B225" t="s">
        <v>1351</v>
      </c>
      <c r="C225" t="s">
        <v>904</v>
      </c>
      <c r="D225" t="s">
        <v>1733</v>
      </c>
    </row>
    <row r="226" spans="2:4" x14ac:dyDescent="0.25">
      <c r="B226" t="s">
        <v>1360</v>
      </c>
      <c r="C226" t="s">
        <v>1750</v>
      </c>
      <c r="D226" t="s">
        <v>1734</v>
      </c>
    </row>
    <row r="227" spans="2:4" x14ac:dyDescent="0.25">
      <c r="B227" t="s">
        <v>1364</v>
      </c>
      <c r="C227" t="s">
        <v>906</v>
      </c>
      <c r="D227" t="s">
        <v>1735</v>
      </c>
    </row>
    <row r="228" spans="2:4" x14ac:dyDescent="0.25">
      <c r="B228" t="s">
        <v>1381</v>
      </c>
      <c r="C228" t="s">
        <v>1781</v>
      </c>
      <c r="D228" t="s">
        <v>1737</v>
      </c>
    </row>
    <row r="229" spans="2:4" x14ac:dyDescent="0.25">
      <c r="B229" t="s">
        <v>1510</v>
      </c>
      <c r="C229" t="s">
        <v>1782</v>
      </c>
      <c r="D229" t="s">
        <v>1738</v>
      </c>
    </row>
    <row r="230" spans="2:4" x14ac:dyDescent="0.25">
      <c r="B230" t="s">
        <v>836</v>
      </c>
      <c r="C230" t="s">
        <v>1522</v>
      </c>
      <c r="D230" t="s">
        <v>1740</v>
      </c>
    </row>
    <row r="231" spans="2:4" x14ac:dyDescent="0.25">
      <c r="B231" t="s">
        <v>1324</v>
      </c>
      <c r="C231" t="s">
        <v>913</v>
      </c>
      <c r="D231" t="s">
        <v>1742</v>
      </c>
    </row>
    <row r="232" spans="2:4" x14ac:dyDescent="0.25">
      <c r="B232" t="s">
        <v>1499</v>
      </c>
      <c r="C232" t="s">
        <v>915</v>
      </c>
      <c r="D232" t="s">
        <v>1744</v>
      </c>
    </row>
    <row r="233" spans="2:4" x14ac:dyDescent="0.25">
      <c r="B233" t="s">
        <v>1663</v>
      </c>
      <c r="C233" t="s">
        <v>1783</v>
      </c>
      <c r="D233" t="s">
        <v>1746</v>
      </c>
    </row>
    <row r="234" spans="2:4" x14ac:dyDescent="0.25">
      <c r="B234" t="s">
        <v>1671</v>
      </c>
      <c r="C234" t="s">
        <v>1784</v>
      </c>
      <c r="D234" t="s">
        <v>1748</v>
      </c>
    </row>
    <row r="235" spans="2:4" x14ac:dyDescent="0.25">
      <c r="B235" t="s">
        <v>1674</v>
      </c>
      <c r="C235" t="s">
        <v>1785</v>
      </c>
      <c r="D235" t="s">
        <v>1749</v>
      </c>
    </row>
    <row r="236" spans="2:4" x14ac:dyDescent="0.25">
      <c r="B236" t="s">
        <v>1677</v>
      </c>
      <c r="C236" t="s">
        <v>917</v>
      </c>
      <c r="D236" t="s">
        <v>904</v>
      </c>
    </row>
    <row r="237" spans="2:4" x14ac:dyDescent="0.25">
      <c r="B237" t="s">
        <v>1467</v>
      </c>
      <c r="C237" t="s">
        <v>1794</v>
      </c>
      <c r="D237" t="s">
        <v>1750</v>
      </c>
    </row>
    <row r="238" spans="2:4" x14ac:dyDescent="0.25">
      <c r="B238" t="s">
        <v>1362</v>
      </c>
      <c r="C238" t="s">
        <v>1763</v>
      </c>
      <c r="D238" t="s">
        <v>908</v>
      </c>
    </row>
    <row r="239" spans="2:4" x14ac:dyDescent="0.25">
      <c r="B239" t="s">
        <v>1370</v>
      </c>
      <c r="C239" t="s">
        <v>1765</v>
      </c>
      <c r="D239" t="s">
        <v>1753</v>
      </c>
    </row>
    <row r="240" spans="2:4" x14ac:dyDescent="0.25">
      <c r="B240" t="s">
        <v>1692</v>
      </c>
      <c r="C240" t="s">
        <v>1786</v>
      </c>
      <c r="D240" t="s">
        <v>1755</v>
      </c>
    </row>
    <row r="241" spans="2:4" x14ac:dyDescent="0.25">
      <c r="B241" t="s">
        <v>1379</v>
      </c>
      <c r="C241" t="s">
        <v>919</v>
      </c>
      <c r="D241" t="s">
        <v>1756</v>
      </c>
    </row>
    <row r="242" spans="2:4" x14ac:dyDescent="0.25">
      <c r="B242" t="s">
        <v>1389</v>
      </c>
      <c r="C242" t="s">
        <v>1772</v>
      </c>
      <c r="D242" t="s">
        <v>911</v>
      </c>
    </row>
    <row r="243" spans="2:4" x14ac:dyDescent="0.25">
      <c r="B243" t="s">
        <v>1698</v>
      </c>
      <c r="C243" t="s">
        <v>1773</v>
      </c>
      <c r="D243" t="s">
        <v>1758</v>
      </c>
    </row>
    <row r="244" spans="2:4" x14ac:dyDescent="0.25">
      <c r="B244" t="s">
        <v>1700</v>
      </c>
      <c r="C244" t="s">
        <v>1565</v>
      </c>
      <c r="D244" t="s">
        <v>1759</v>
      </c>
    </row>
    <row r="245" spans="2:4" x14ac:dyDescent="0.25">
      <c r="B245" t="s">
        <v>1518</v>
      </c>
      <c r="C245" t="s">
        <v>1569</v>
      </c>
      <c r="D245" t="s">
        <v>1760</v>
      </c>
    </row>
    <row r="246" spans="2:4" x14ac:dyDescent="0.25">
      <c r="B246" t="s">
        <v>1524</v>
      </c>
      <c r="C246" t="s">
        <v>1572</v>
      </c>
      <c r="D246" t="s">
        <v>1762</v>
      </c>
    </row>
    <row r="247" spans="2:4" x14ac:dyDescent="0.25">
      <c r="B247" t="s">
        <v>1528</v>
      </c>
      <c r="C247" t="s">
        <v>1577</v>
      </c>
      <c r="D247" t="s">
        <v>1763</v>
      </c>
    </row>
    <row r="248" spans="2:4" x14ac:dyDescent="0.25">
      <c r="B248" t="s">
        <v>1533</v>
      </c>
      <c r="C248" t="s">
        <v>1584</v>
      </c>
      <c r="D248" t="s">
        <v>1765</v>
      </c>
    </row>
    <row r="249" spans="2:4" x14ac:dyDescent="0.25">
      <c r="B249" t="s">
        <v>1540</v>
      </c>
      <c r="C249" t="s">
        <v>1795</v>
      </c>
      <c r="D249" t="s">
        <v>1766</v>
      </c>
    </row>
    <row r="250" spans="2:4" x14ac:dyDescent="0.25">
      <c r="B250" t="s">
        <v>1397</v>
      </c>
      <c r="C250" t="s">
        <v>1714</v>
      </c>
      <c r="D250" t="s">
        <v>919</v>
      </c>
    </row>
    <row r="251" spans="2:4" x14ac:dyDescent="0.25">
      <c r="B251" t="s">
        <v>1406</v>
      </c>
      <c r="C251" t="s">
        <v>1787</v>
      </c>
      <c r="D251" t="s">
        <v>1767</v>
      </c>
    </row>
    <row r="252" spans="2:4" x14ac:dyDescent="0.25">
      <c r="B252" t="s">
        <v>1415</v>
      </c>
      <c r="C252" t="s">
        <v>1776</v>
      </c>
      <c r="D252" t="s">
        <v>1768</v>
      </c>
    </row>
    <row r="253" spans="2:4" x14ac:dyDescent="0.25">
      <c r="B253" t="s">
        <v>1423</v>
      </c>
      <c r="C253" t="s">
        <v>1788</v>
      </c>
      <c r="D253" t="s">
        <v>1769</v>
      </c>
    </row>
    <row r="254" spans="2:4" x14ac:dyDescent="0.25">
      <c r="B254" t="s">
        <v>1432</v>
      </c>
      <c r="C254" t="s">
        <v>1790</v>
      </c>
      <c r="D254" t="s">
        <v>1771</v>
      </c>
    </row>
    <row r="255" spans="2:4" x14ac:dyDescent="0.25">
      <c r="B255" t="s">
        <v>1440</v>
      </c>
      <c r="C255" t="s">
        <v>1628</v>
      </c>
      <c r="D255" t="s">
        <v>1772</v>
      </c>
    </row>
    <row r="256" spans="2:4" x14ac:dyDescent="0.25">
      <c r="B256" t="s">
        <v>1446</v>
      </c>
      <c r="C256" t="s">
        <v>1791</v>
      </c>
      <c r="D256" t="s">
        <v>1773</v>
      </c>
    </row>
    <row r="257" spans="2:4" x14ac:dyDescent="0.25">
      <c r="B257" t="s">
        <v>1454</v>
      </c>
      <c r="C257" t="s">
        <v>1792</v>
      </c>
      <c r="D257" t="s">
        <v>1774</v>
      </c>
    </row>
    <row r="258" spans="2:4" x14ac:dyDescent="0.25">
      <c r="B258" t="s">
        <v>1460</v>
      </c>
      <c r="C258" t="s">
        <v>921</v>
      </c>
      <c r="D258" t="s">
        <v>1775</v>
      </c>
    </row>
    <row r="259" spans="2:4" x14ac:dyDescent="0.25">
      <c r="B259" t="s">
        <v>1465</v>
      </c>
      <c r="D259" t="s">
        <v>1776</v>
      </c>
    </row>
    <row r="260" spans="2:4" x14ac:dyDescent="0.25">
      <c r="B260" t="s">
        <v>1471</v>
      </c>
      <c r="D260" t="s">
        <v>1777</v>
      </c>
    </row>
    <row r="261" spans="2:4" x14ac:dyDescent="0.25">
      <c r="B261" t="s">
        <v>1477</v>
      </c>
      <c r="D261" t="s">
        <v>818</v>
      </c>
    </row>
    <row r="262" spans="2:4" x14ac:dyDescent="0.25">
      <c r="B262" t="s">
        <v>1483</v>
      </c>
      <c r="D262" t="s">
        <v>1244</v>
      </c>
    </row>
    <row r="263" spans="2:4" x14ac:dyDescent="0.25">
      <c r="B263" t="s">
        <v>1048</v>
      </c>
      <c r="D263" t="s">
        <v>1256</v>
      </c>
    </row>
    <row r="264" spans="2:4" x14ac:dyDescent="0.25">
      <c r="B264" t="s">
        <v>1491</v>
      </c>
      <c r="D264" t="s">
        <v>1265</v>
      </c>
    </row>
    <row r="265" spans="2:4" x14ac:dyDescent="0.25">
      <c r="B265" t="s">
        <v>1495</v>
      </c>
      <c r="D265" t="s">
        <v>1272</v>
      </c>
    </row>
    <row r="266" spans="2:4" x14ac:dyDescent="0.25">
      <c r="B266" t="s">
        <v>1739</v>
      </c>
      <c r="D266" t="s">
        <v>1282</v>
      </c>
    </row>
    <row r="267" spans="2:4" x14ac:dyDescent="0.25">
      <c r="B267" t="s">
        <v>1741</v>
      </c>
      <c r="D267" t="s">
        <v>1291</v>
      </c>
    </row>
    <row r="268" spans="2:4" x14ac:dyDescent="0.25">
      <c r="B268" t="s">
        <v>1743</v>
      </c>
      <c r="D268" t="s">
        <v>1301</v>
      </c>
    </row>
    <row r="269" spans="2:4" x14ac:dyDescent="0.25">
      <c r="B269" t="s">
        <v>1745</v>
      </c>
      <c r="D269" t="s">
        <v>1308</v>
      </c>
    </row>
    <row r="270" spans="2:4" x14ac:dyDescent="0.25">
      <c r="B270" t="s">
        <v>1508</v>
      </c>
      <c r="D270" t="s">
        <v>1316</v>
      </c>
    </row>
    <row r="271" spans="2:4" x14ac:dyDescent="0.25">
      <c r="B271" t="s">
        <v>1757</v>
      </c>
      <c r="D271" t="s">
        <v>1323</v>
      </c>
    </row>
    <row r="272" spans="2:4" x14ac:dyDescent="0.25">
      <c r="B272" t="s">
        <v>1501</v>
      </c>
      <c r="D272" t="s">
        <v>1332</v>
      </c>
    </row>
    <row r="273" spans="2:4" x14ac:dyDescent="0.25">
      <c r="B273" t="s">
        <v>1501</v>
      </c>
      <c r="D273" t="s">
        <v>1342</v>
      </c>
    </row>
    <row r="274" spans="2:4" x14ac:dyDescent="0.25">
      <c r="B274" t="s">
        <v>1761</v>
      </c>
      <c r="D274" t="s">
        <v>1353</v>
      </c>
    </row>
    <row r="275" spans="2:4" x14ac:dyDescent="0.25">
      <c r="B275" t="s">
        <v>868</v>
      </c>
      <c r="D275" t="s">
        <v>1362</v>
      </c>
    </row>
    <row r="276" spans="2:4" x14ac:dyDescent="0.25">
      <c r="B276" t="s">
        <v>870</v>
      </c>
      <c r="D276" t="s">
        <v>1370</v>
      </c>
    </row>
    <row r="277" spans="2:4" x14ac:dyDescent="0.25">
      <c r="B277" t="s">
        <v>1632</v>
      </c>
      <c r="D277" t="s">
        <v>1379</v>
      </c>
    </row>
    <row r="278" spans="2:4" x14ac:dyDescent="0.25">
      <c r="B278" t="s">
        <v>877</v>
      </c>
      <c r="D278" t="s">
        <v>1389</v>
      </c>
    </row>
    <row r="279" spans="2:4" x14ac:dyDescent="0.25">
      <c r="B279" t="s">
        <v>877</v>
      </c>
      <c r="D279" t="s">
        <v>1397</v>
      </c>
    </row>
    <row r="280" spans="2:4" x14ac:dyDescent="0.25">
      <c r="B280" t="s">
        <v>1657</v>
      </c>
      <c r="D280" t="s">
        <v>1406</v>
      </c>
    </row>
    <row r="281" spans="2:4" x14ac:dyDescent="0.25">
      <c r="B281" t="s">
        <v>1657</v>
      </c>
      <c r="D281" t="s">
        <v>1415</v>
      </c>
    </row>
    <row r="282" spans="2:4" x14ac:dyDescent="0.25">
      <c r="B282" t="s">
        <v>1779</v>
      </c>
      <c r="D282" t="s">
        <v>1423</v>
      </c>
    </row>
    <row r="283" spans="2:4" x14ac:dyDescent="0.25">
      <c r="B283" t="s">
        <v>1717</v>
      </c>
      <c r="D283" t="s">
        <v>1432</v>
      </c>
    </row>
    <row r="284" spans="2:4" x14ac:dyDescent="0.25">
      <c r="B284" t="s">
        <v>1731</v>
      </c>
      <c r="D284" t="s">
        <v>1440</v>
      </c>
    </row>
    <row r="285" spans="2:4" x14ac:dyDescent="0.25">
      <c r="B285" t="s">
        <v>1498</v>
      </c>
      <c r="D285" t="s">
        <v>1446</v>
      </c>
    </row>
    <row r="286" spans="2:4" x14ac:dyDescent="0.25">
      <c r="B286" t="s">
        <v>1793</v>
      </c>
      <c r="D286" t="s">
        <v>1454</v>
      </c>
    </row>
    <row r="287" spans="2:4" x14ac:dyDescent="0.25">
      <c r="B287" t="s">
        <v>1522</v>
      </c>
      <c r="D287" t="s">
        <v>1460</v>
      </c>
    </row>
    <row r="288" spans="2:4" x14ac:dyDescent="0.25">
      <c r="B288" t="s">
        <v>913</v>
      </c>
      <c r="D288" t="s">
        <v>1465</v>
      </c>
    </row>
    <row r="289" spans="2:4" x14ac:dyDescent="0.25">
      <c r="B289" t="s">
        <v>915</v>
      </c>
      <c r="D289" t="s">
        <v>1471</v>
      </c>
    </row>
    <row r="290" spans="2:4" x14ac:dyDescent="0.25">
      <c r="B290" t="s">
        <v>1794</v>
      </c>
      <c r="D290" t="s">
        <v>1477</v>
      </c>
    </row>
    <row r="291" spans="2:4" x14ac:dyDescent="0.25">
      <c r="B291" t="s">
        <v>1795</v>
      </c>
      <c r="D291" t="s">
        <v>1483</v>
      </c>
    </row>
    <row r="292" spans="2:4" x14ac:dyDescent="0.25">
      <c r="D292" t="s">
        <v>1048</v>
      </c>
    </row>
    <row r="293" spans="2:4" x14ac:dyDescent="0.25">
      <c r="D293" t="s">
        <v>1491</v>
      </c>
    </row>
    <row r="294" spans="2:4" x14ac:dyDescent="0.25">
      <c r="D294" t="s">
        <v>1495</v>
      </c>
    </row>
    <row r="295" spans="2:4" x14ac:dyDescent="0.25">
      <c r="D295" t="s">
        <v>1501</v>
      </c>
    </row>
    <row r="296" spans="2:4" x14ac:dyDescent="0.25">
      <c r="D296" t="s">
        <v>865</v>
      </c>
    </row>
    <row r="297" spans="2:4" x14ac:dyDescent="0.25">
      <c r="D297" t="s">
        <v>1513</v>
      </c>
    </row>
    <row r="298" spans="2:4" x14ac:dyDescent="0.25">
      <c r="D298" t="s">
        <v>1519</v>
      </c>
    </row>
    <row r="299" spans="2:4" x14ac:dyDescent="0.25">
      <c r="D299" t="s">
        <v>899</v>
      </c>
    </row>
    <row r="300" spans="2:4" x14ac:dyDescent="0.25">
      <c r="D300" t="s">
        <v>1529</v>
      </c>
    </row>
    <row r="301" spans="2:4" x14ac:dyDescent="0.25">
      <c r="D301" t="s">
        <v>1534</v>
      </c>
    </row>
    <row r="302" spans="2:4" x14ac:dyDescent="0.25">
      <c r="D302" t="s">
        <v>1541</v>
      </c>
    </row>
    <row r="303" spans="2:4" x14ac:dyDescent="0.25">
      <c r="D303" t="s">
        <v>1548</v>
      </c>
    </row>
    <row r="304" spans="2:4" x14ac:dyDescent="0.25">
      <c r="D304" t="s">
        <v>1554</v>
      </c>
    </row>
    <row r="305" spans="4:4" x14ac:dyDescent="0.25">
      <c r="D305" t="s">
        <v>1558</v>
      </c>
    </row>
    <row r="306" spans="4:4" x14ac:dyDescent="0.25">
      <c r="D306" t="s">
        <v>1562</v>
      </c>
    </row>
    <row r="307" spans="4:4" x14ac:dyDescent="0.25">
      <c r="D307" t="s">
        <v>1565</v>
      </c>
    </row>
    <row r="308" spans="4:4" x14ac:dyDescent="0.25">
      <c r="D308" t="s">
        <v>1569</v>
      </c>
    </row>
    <row r="309" spans="4:4" x14ac:dyDescent="0.25">
      <c r="D309" t="s">
        <v>1572</v>
      </c>
    </row>
    <row r="310" spans="4:4" x14ac:dyDescent="0.25">
      <c r="D310" t="s">
        <v>1577</v>
      </c>
    </row>
    <row r="311" spans="4:4" x14ac:dyDescent="0.25">
      <c r="D311" t="s">
        <v>1580</v>
      </c>
    </row>
    <row r="312" spans="4:4" x14ac:dyDescent="0.25">
      <c r="D312" t="s">
        <v>1584</v>
      </c>
    </row>
    <row r="313" spans="4:4" x14ac:dyDescent="0.25">
      <c r="D313" t="s">
        <v>1587</v>
      </c>
    </row>
    <row r="314" spans="4:4" x14ac:dyDescent="0.25">
      <c r="D314" t="s">
        <v>1467</v>
      </c>
    </row>
    <row r="315" spans="4:4" x14ac:dyDescent="0.25">
      <c r="D315" t="s">
        <v>1245</v>
      </c>
    </row>
    <row r="316" spans="4:4" x14ac:dyDescent="0.25">
      <c r="D316" t="s">
        <v>1250</v>
      </c>
    </row>
    <row r="317" spans="4:4" x14ac:dyDescent="0.25">
      <c r="D317" t="s">
        <v>1242</v>
      </c>
    </row>
    <row r="318" spans="4:4" x14ac:dyDescent="0.25">
      <c r="D318" t="s">
        <v>1273</v>
      </c>
    </row>
    <row r="319" spans="4:4" x14ac:dyDescent="0.25">
      <c r="D319" t="s">
        <v>1252</v>
      </c>
    </row>
    <row r="320" spans="4:4" x14ac:dyDescent="0.25">
      <c r="D320" t="s">
        <v>1270</v>
      </c>
    </row>
    <row r="321" spans="4:4" x14ac:dyDescent="0.25">
      <c r="D321" t="s">
        <v>18</v>
      </c>
    </row>
    <row r="322" spans="4:4" x14ac:dyDescent="0.25">
      <c r="D322" t="s">
        <v>19</v>
      </c>
    </row>
    <row r="323" spans="4:4" x14ac:dyDescent="0.25">
      <c r="D323" t="s">
        <v>816</v>
      </c>
    </row>
    <row r="324" spans="4:4" x14ac:dyDescent="0.25">
      <c r="D324" t="s">
        <v>1324</v>
      </c>
    </row>
    <row r="325" spans="4:4" x14ac:dyDescent="0.25">
      <c r="D325" t="s">
        <v>1333</v>
      </c>
    </row>
    <row r="326" spans="4:4" x14ac:dyDescent="0.25">
      <c r="D326" t="s">
        <v>1343</v>
      </c>
    </row>
    <row r="327" spans="4:4" x14ac:dyDescent="0.25">
      <c r="D327" t="s">
        <v>1354</v>
      </c>
    </row>
    <row r="328" spans="4:4" x14ac:dyDescent="0.25">
      <c r="D328" t="s">
        <v>1363</v>
      </c>
    </row>
    <row r="329" spans="4:4" x14ac:dyDescent="0.25">
      <c r="D329" t="s">
        <v>1371</v>
      </c>
    </row>
    <row r="330" spans="4:4" x14ac:dyDescent="0.25">
      <c r="D330" t="s">
        <v>1380</v>
      </c>
    </row>
    <row r="331" spans="4:4" x14ac:dyDescent="0.25">
      <c r="D331" t="s">
        <v>1390</v>
      </c>
    </row>
    <row r="332" spans="4:4" x14ac:dyDescent="0.25">
      <c r="D332" t="s">
        <v>1398</v>
      </c>
    </row>
    <row r="333" spans="4:4" x14ac:dyDescent="0.25">
      <c r="D333" t="s">
        <v>1407</v>
      </c>
    </row>
    <row r="334" spans="4:4" x14ac:dyDescent="0.25">
      <c r="D334" t="s">
        <v>1416</v>
      </c>
    </row>
    <row r="335" spans="4:4" x14ac:dyDescent="0.25">
      <c r="D335" t="s">
        <v>1424</v>
      </c>
    </row>
    <row r="336" spans="4:4" x14ac:dyDescent="0.25">
      <c r="D336" t="s">
        <v>1433</v>
      </c>
    </row>
    <row r="337" spans="4:4" x14ac:dyDescent="0.25">
      <c r="D337" t="s">
        <v>1441</v>
      </c>
    </row>
    <row r="338" spans="4:4" x14ac:dyDescent="0.25">
      <c r="D338" t="s">
        <v>1447</v>
      </c>
    </row>
    <row r="339" spans="4:4" x14ac:dyDescent="0.25">
      <c r="D339" t="s">
        <v>1455</v>
      </c>
    </row>
    <row r="340" spans="4:4" x14ac:dyDescent="0.25">
      <c r="D340" t="s">
        <v>1461</v>
      </c>
    </row>
    <row r="341" spans="4:4" x14ac:dyDescent="0.25">
      <c r="D341" t="s">
        <v>1466</v>
      </c>
    </row>
    <row r="342" spans="4:4" x14ac:dyDescent="0.25">
      <c r="D342" t="s">
        <v>1472</v>
      </c>
    </row>
    <row r="343" spans="4:4" x14ac:dyDescent="0.25">
      <c r="D343" t="s">
        <v>1478</v>
      </c>
    </row>
    <row r="344" spans="4:4" x14ac:dyDescent="0.25">
      <c r="D344" t="s">
        <v>1484</v>
      </c>
    </row>
    <row r="345" spans="4:4" x14ac:dyDescent="0.25">
      <c r="D345" t="s">
        <v>17</v>
      </c>
    </row>
    <row r="346" spans="4:4" x14ac:dyDescent="0.25">
      <c r="D346" t="s">
        <v>1481</v>
      </c>
    </row>
    <row r="347" spans="4:4" x14ac:dyDescent="0.25">
      <c r="D347" t="s">
        <v>1496</v>
      </c>
    </row>
    <row r="348" spans="4:4" x14ac:dyDescent="0.25">
      <c r="D348" t="s">
        <v>1502</v>
      </c>
    </row>
    <row r="349" spans="4:4" x14ac:dyDescent="0.25">
      <c r="D349" t="s">
        <v>1507</v>
      </c>
    </row>
    <row r="350" spans="4:4" x14ac:dyDescent="0.25">
      <c r="D350" t="s">
        <v>1514</v>
      </c>
    </row>
    <row r="351" spans="4:4" x14ac:dyDescent="0.25">
      <c r="D351" t="s">
        <v>1520</v>
      </c>
    </row>
    <row r="352" spans="4:4" x14ac:dyDescent="0.25">
      <c r="D352" t="s">
        <v>1525</v>
      </c>
    </row>
    <row r="353" spans="4:4" x14ac:dyDescent="0.25">
      <c r="D353" t="s">
        <v>1530</v>
      </c>
    </row>
    <row r="354" spans="4:4" x14ac:dyDescent="0.25">
      <c r="D354" t="s">
        <v>1535</v>
      </c>
    </row>
    <row r="355" spans="4:4" x14ac:dyDescent="0.25">
      <c r="D355" t="s">
        <v>1542</v>
      </c>
    </row>
    <row r="356" spans="4:4" x14ac:dyDescent="0.25">
      <c r="D356" t="s">
        <v>1549</v>
      </c>
    </row>
    <row r="357" spans="4:4" x14ac:dyDescent="0.25">
      <c r="D357" t="s">
        <v>1312</v>
      </c>
    </row>
    <row r="358" spans="4:4" x14ac:dyDescent="0.25">
      <c r="D358" t="s">
        <v>803</v>
      </c>
    </row>
    <row r="359" spans="4:4" x14ac:dyDescent="0.25">
      <c r="D359" t="s">
        <v>1328</v>
      </c>
    </row>
    <row r="360" spans="4:4" x14ac:dyDescent="0.25">
      <c r="D360" t="s">
        <v>1338</v>
      </c>
    </row>
    <row r="361" spans="4:4" x14ac:dyDescent="0.25">
      <c r="D361" t="s">
        <v>1348</v>
      </c>
    </row>
    <row r="362" spans="4:4" x14ac:dyDescent="0.25">
      <c r="D362" t="s">
        <v>1573</v>
      </c>
    </row>
    <row r="363" spans="4:4" x14ac:dyDescent="0.25">
      <c r="D363" t="s">
        <v>1578</v>
      </c>
    </row>
    <row r="364" spans="4:4" x14ac:dyDescent="0.25">
      <c r="D364" t="s">
        <v>1796</v>
      </c>
    </row>
    <row r="365" spans="4:4" x14ac:dyDescent="0.25">
      <c r="D365" t="s">
        <v>1797</v>
      </c>
    </row>
    <row r="366" spans="4:4" x14ac:dyDescent="0.25">
      <c r="D366" t="s">
        <v>1246</v>
      </c>
    </row>
    <row r="367" spans="4:4" x14ac:dyDescent="0.25">
      <c r="D367" t="s">
        <v>1257</v>
      </c>
    </row>
    <row r="368" spans="4:4" x14ac:dyDescent="0.25">
      <c r="D368" t="s">
        <v>1266</v>
      </c>
    </row>
    <row r="369" spans="4:4" x14ac:dyDescent="0.25">
      <c r="D369" t="s">
        <v>1274</v>
      </c>
    </row>
    <row r="370" spans="4:4" x14ac:dyDescent="0.25">
      <c r="D370" t="s">
        <v>1283</v>
      </c>
    </row>
    <row r="371" spans="4:4" x14ac:dyDescent="0.25">
      <c r="D371" t="s">
        <v>1292</v>
      </c>
    </row>
    <row r="372" spans="4:4" x14ac:dyDescent="0.25">
      <c r="D372" t="s">
        <v>1302</v>
      </c>
    </row>
    <row r="373" spans="4:4" x14ac:dyDescent="0.25">
      <c r="D373" t="s">
        <v>16</v>
      </c>
    </row>
    <row r="374" spans="4:4" x14ac:dyDescent="0.25">
      <c r="D374" t="s">
        <v>1317</v>
      </c>
    </row>
    <row r="375" spans="4:4" x14ac:dyDescent="0.25">
      <c r="D375" t="s">
        <v>707</v>
      </c>
    </row>
    <row r="376" spans="4:4" x14ac:dyDescent="0.25">
      <c r="D376" t="s">
        <v>1334</v>
      </c>
    </row>
    <row r="377" spans="4:4" x14ac:dyDescent="0.25">
      <c r="D377" t="s">
        <v>1344</v>
      </c>
    </row>
    <row r="378" spans="4:4" x14ac:dyDescent="0.25">
      <c r="D378" t="s">
        <v>1355</v>
      </c>
    </row>
    <row r="379" spans="4:4" x14ac:dyDescent="0.25">
      <c r="D379" t="s">
        <v>1364</v>
      </c>
    </row>
    <row r="380" spans="4:4" x14ac:dyDescent="0.25">
      <c r="D380" t="s">
        <v>1372</v>
      </c>
    </row>
    <row r="381" spans="4:4" x14ac:dyDescent="0.25">
      <c r="D381" t="s">
        <v>1381</v>
      </c>
    </row>
    <row r="382" spans="4:4" x14ac:dyDescent="0.25">
      <c r="D382" t="s">
        <v>1391</v>
      </c>
    </row>
    <row r="383" spans="4:4" x14ac:dyDescent="0.25">
      <c r="D383" t="s">
        <v>1399</v>
      </c>
    </row>
    <row r="384" spans="4:4" x14ac:dyDescent="0.25">
      <c r="D384" t="s">
        <v>1408</v>
      </c>
    </row>
    <row r="385" spans="4:4" x14ac:dyDescent="0.25">
      <c r="D385" t="s">
        <v>1417</v>
      </c>
    </row>
    <row r="386" spans="4:4" x14ac:dyDescent="0.25">
      <c r="D386" t="s">
        <v>1425</v>
      </c>
    </row>
    <row r="387" spans="4:4" x14ac:dyDescent="0.25">
      <c r="D387" t="s">
        <v>727</v>
      </c>
    </row>
    <row r="388" spans="4:4" x14ac:dyDescent="0.25">
      <c r="D388" t="s">
        <v>848</v>
      </c>
    </row>
    <row r="389" spans="4:4" x14ac:dyDescent="0.25">
      <c r="D389" t="s">
        <v>1448</v>
      </c>
    </row>
    <row r="390" spans="4:4" x14ac:dyDescent="0.25">
      <c r="D390" t="s">
        <v>1456</v>
      </c>
    </row>
    <row r="391" spans="4:4" x14ac:dyDescent="0.25">
      <c r="D391" t="s">
        <v>1462</v>
      </c>
    </row>
    <row r="392" spans="4:4" x14ac:dyDescent="0.25">
      <c r="D392" t="s">
        <v>1467</v>
      </c>
    </row>
    <row r="393" spans="4:4" x14ac:dyDescent="0.25">
      <c r="D393" t="s">
        <v>1473</v>
      </c>
    </row>
    <row r="394" spans="4:4" x14ac:dyDescent="0.25">
      <c r="D394" t="s">
        <v>1479</v>
      </c>
    </row>
    <row r="395" spans="4:4" x14ac:dyDescent="0.25">
      <c r="D395" t="s">
        <v>1485</v>
      </c>
    </row>
    <row r="396" spans="4:4" x14ac:dyDescent="0.25">
      <c r="D396" t="s">
        <v>1488</v>
      </c>
    </row>
    <row r="397" spans="4:4" x14ac:dyDescent="0.25">
      <c r="D397" t="s">
        <v>1492</v>
      </c>
    </row>
    <row r="398" spans="4:4" x14ac:dyDescent="0.25">
      <c r="D398" t="s">
        <v>1497</v>
      </c>
    </row>
    <row r="399" spans="4:4" x14ac:dyDescent="0.25">
      <c r="D399" t="s">
        <v>1503</v>
      </c>
    </row>
    <row r="400" spans="4:4" x14ac:dyDescent="0.25">
      <c r="D400" t="s">
        <v>1508</v>
      </c>
    </row>
    <row r="401" spans="4:4" x14ac:dyDescent="0.25">
      <c r="D401" t="s">
        <v>1515</v>
      </c>
    </row>
    <row r="402" spans="4:4" x14ac:dyDescent="0.25">
      <c r="D402" t="s">
        <v>1521</v>
      </c>
    </row>
    <row r="403" spans="4:4" x14ac:dyDescent="0.25">
      <c r="D403" t="s">
        <v>1526</v>
      </c>
    </row>
    <row r="404" spans="4:4" x14ac:dyDescent="0.25">
      <c r="D404" t="s">
        <v>1531</v>
      </c>
    </row>
    <row r="405" spans="4:4" x14ac:dyDescent="0.25">
      <c r="D405" t="s">
        <v>1536</v>
      </c>
    </row>
    <row r="406" spans="4:4" x14ac:dyDescent="0.25">
      <c r="D406" t="s">
        <v>1543</v>
      </c>
    </row>
    <row r="407" spans="4:4" x14ac:dyDescent="0.25">
      <c r="D407" t="s">
        <v>1550</v>
      </c>
    </row>
    <row r="408" spans="4:4" x14ac:dyDescent="0.25">
      <c r="D408" t="s">
        <v>1555</v>
      </c>
    </row>
    <row r="409" spans="4:4" x14ac:dyDescent="0.25">
      <c r="D409" t="s">
        <v>1559</v>
      </c>
    </row>
    <row r="410" spans="4:4" x14ac:dyDescent="0.25">
      <c r="D410" t="s">
        <v>1563</v>
      </c>
    </row>
    <row r="411" spans="4:4" x14ac:dyDescent="0.25">
      <c r="D411" t="s">
        <v>1566</v>
      </c>
    </row>
    <row r="412" spans="4:4" x14ac:dyDescent="0.25">
      <c r="D412" t="s">
        <v>1570</v>
      </c>
    </row>
    <row r="413" spans="4:4" x14ac:dyDescent="0.25">
      <c r="D413" t="s">
        <v>1574</v>
      </c>
    </row>
    <row r="414" spans="4:4" x14ac:dyDescent="0.25">
      <c r="D414" t="s">
        <v>875</v>
      </c>
    </row>
    <row r="415" spans="4:4" x14ac:dyDescent="0.25">
      <c r="D415" t="s">
        <v>1581</v>
      </c>
    </row>
    <row r="416" spans="4:4" x14ac:dyDescent="0.25">
      <c r="D416" t="s">
        <v>887</v>
      </c>
    </row>
    <row r="417" spans="4:4" x14ac:dyDescent="0.25">
      <c r="D417" t="s">
        <v>1588</v>
      </c>
    </row>
    <row r="418" spans="4:4" x14ac:dyDescent="0.25">
      <c r="D418" t="s">
        <v>1590</v>
      </c>
    </row>
    <row r="419" spans="4:4" x14ac:dyDescent="0.25">
      <c r="D419" t="s">
        <v>1593</v>
      </c>
    </row>
    <row r="420" spans="4:4" x14ac:dyDescent="0.25">
      <c r="D420" t="s">
        <v>1597</v>
      </c>
    </row>
    <row r="421" spans="4:4" x14ac:dyDescent="0.25">
      <c r="D421" t="s">
        <v>1600</v>
      </c>
    </row>
    <row r="422" spans="4:4" x14ac:dyDescent="0.25">
      <c r="D422" t="s">
        <v>906</v>
      </c>
    </row>
    <row r="423" spans="4:4" x14ac:dyDescent="0.25">
      <c r="D423" t="s">
        <v>1606</v>
      </c>
    </row>
    <row r="424" spans="4:4" x14ac:dyDescent="0.25">
      <c r="D424" t="s">
        <v>1610</v>
      </c>
    </row>
    <row r="425" spans="4:4" x14ac:dyDescent="0.25">
      <c r="D425" t="s">
        <v>1613</v>
      </c>
    </row>
    <row r="426" spans="4:4" x14ac:dyDescent="0.25">
      <c r="D426" t="s">
        <v>917</v>
      </c>
    </row>
    <row r="427" spans="4:4" x14ac:dyDescent="0.25">
      <c r="D427" t="s">
        <v>1618</v>
      </c>
    </row>
    <row r="428" spans="4:4" x14ac:dyDescent="0.25">
      <c r="D428" t="s">
        <v>1621</v>
      </c>
    </row>
    <row r="429" spans="4:4" x14ac:dyDescent="0.25">
      <c r="D429" t="s">
        <v>1624</v>
      </c>
    </row>
    <row r="430" spans="4:4" x14ac:dyDescent="0.25">
      <c r="D430" t="s">
        <v>1628</v>
      </c>
    </row>
    <row r="431" spans="4:4" x14ac:dyDescent="0.25">
      <c r="D431" t="s">
        <v>1247</v>
      </c>
    </row>
    <row r="432" spans="4:4" x14ac:dyDescent="0.25">
      <c r="D432" t="s">
        <v>1258</v>
      </c>
    </row>
    <row r="433" spans="4:4" x14ac:dyDescent="0.25">
      <c r="D433" t="s">
        <v>826</v>
      </c>
    </row>
    <row r="434" spans="4:4" x14ac:dyDescent="0.25">
      <c r="D434" t="s">
        <v>1275</v>
      </c>
    </row>
    <row r="435" spans="4:4" x14ac:dyDescent="0.25">
      <c r="D435" t="s">
        <v>1284</v>
      </c>
    </row>
    <row r="436" spans="4:4" x14ac:dyDescent="0.25">
      <c r="D436" t="s">
        <v>1293</v>
      </c>
    </row>
    <row r="437" spans="4:4" x14ac:dyDescent="0.25">
      <c r="D437" t="s">
        <v>1303</v>
      </c>
    </row>
    <row r="438" spans="4:4" x14ac:dyDescent="0.25">
      <c r="D438" t="s">
        <v>1309</v>
      </c>
    </row>
    <row r="439" spans="4:4" x14ac:dyDescent="0.25">
      <c r="D439" t="s">
        <v>1318</v>
      </c>
    </row>
    <row r="440" spans="4:4" x14ac:dyDescent="0.25">
      <c r="D440" t="s">
        <v>1325</v>
      </c>
    </row>
    <row r="441" spans="4:4" x14ac:dyDescent="0.25">
      <c r="D441" t="s">
        <v>1335</v>
      </c>
    </row>
    <row r="442" spans="4:4" x14ac:dyDescent="0.25">
      <c r="D442" t="s">
        <v>1345</v>
      </c>
    </row>
    <row r="443" spans="4:4" x14ac:dyDescent="0.25">
      <c r="D443" t="s">
        <v>1356</v>
      </c>
    </row>
    <row r="444" spans="4:4" x14ac:dyDescent="0.25">
      <c r="D444" t="s">
        <v>1365</v>
      </c>
    </row>
    <row r="445" spans="4:4" x14ac:dyDescent="0.25">
      <c r="D445" t="s">
        <v>1373</v>
      </c>
    </row>
    <row r="446" spans="4:4" x14ac:dyDescent="0.25">
      <c r="D446" t="s">
        <v>1382</v>
      </c>
    </row>
    <row r="447" spans="4:4" x14ac:dyDescent="0.25">
      <c r="D447" t="s">
        <v>921</v>
      </c>
    </row>
    <row r="448" spans="4:4" x14ac:dyDescent="0.25">
      <c r="D448" t="s">
        <v>1400</v>
      </c>
    </row>
    <row r="449" spans="4:4" x14ac:dyDescent="0.25">
      <c r="D449" t="s">
        <v>1248</v>
      </c>
    </row>
    <row r="450" spans="4:4" x14ac:dyDescent="0.25">
      <c r="D450" t="s">
        <v>1259</v>
      </c>
    </row>
    <row r="451" spans="4:4" x14ac:dyDescent="0.25">
      <c r="D451" t="s">
        <v>1267</v>
      </c>
    </row>
    <row r="452" spans="4:4" x14ac:dyDescent="0.25">
      <c r="D452" t="s">
        <v>1276</v>
      </c>
    </row>
    <row r="453" spans="4:4" x14ac:dyDescent="0.25">
      <c r="D453" t="s">
        <v>1285</v>
      </c>
    </row>
    <row r="454" spans="4:4" x14ac:dyDescent="0.25">
      <c r="D454" t="s">
        <v>1294</v>
      </c>
    </row>
    <row r="455" spans="4:4" x14ac:dyDescent="0.25">
      <c r="D455" t="s">
        <v>1304</v>
      </c>
    </row>
    <row r="456" spans="4:4" x14ac:dyDescent="0.25">
      <c r="D456" t="s">
        <v>1310</v>
      </c>
    </row>
    <row r="457" spans="4:4" x14ac:dyDescent="0.25">
      <c r="D457" t="s">
        <v>1319</v>
      </c>
    </row>
    <row r="458" spans="4:4" x14ac:dyDescent="0.25">
      <c r="D458" t="s">
        <v>1326</v>
      </c>
    </row>
    <row r="459" spans="4:4" x14ac:dyDescent="0.25">
      <c r="D459" t="s">
        <v>1336</v>
      </c>
    </row>
    <row r="460" spans="4:4" x14ac:dyDescent="0.25">
      <c r="D460" t="s">
        <v>1346</v>
      </c>
    </row>
    <row r="461" spans="4:4" x14ac:dyDescent="0.25">
      <c r="D461" t="s">
        <v>1357</v>
      </c>
    </row>
    <row r="462" spans="4:4" x14ac:dyDescent="0.25">
      <c r="D462" t="s">
        <v>1366</v>
      </c>
    </row>
    <row r="463" spans="4:4" x14ac:dyDescent="0.25">
      <c r="D463" t="s">
        <v>1374</v>
      </c>
    </row>
    <row r="464" spans="4:4" x14ac:dyDescent="0.25">
      <c r="D464" t="s">
        <v>1383</v>
      </c>
    </row>
    <row r="465" spans="4:4" x14ac:dyDescent="0.25">
      <c r="D465" t="s">
        <v>1392</v>
      </c>
    </row>
    <row r="466" spans="4:4" x14ac:dyDescent="0.25">
      <c r="D466" t="s">
        <v>1401</v>
      </c>
    </row>
    <row r="467" spans="4:4" x14ac:dyDescent="0.25">
      <c r="D467" t="s">
        <v>1409</v>
      </c>
    </row>
    <row r="468" spans="4:4" x14ac:dyDescent="0.25">
      <c r="D468" t="s">
        <v>1418</v>
      </c>
    </row>
    <row r="469" spans="4:4" x14ac:dyDescent="0.25">
      <c r="D469" t="s">
        <v>1426</v>
      </c>
    </row>
    <row r="470" spans="4:4" x14ac:dyDescent="0.25">
      <c r="D470" t="s">
        <v>1434</v>
      </c>
    </row>
    <row r="471" spans="4:4" x14ac:dyDescent="0.25">
      <c r="D471" t="s">
        <v>1442</v>
      </c>
    </row>
    <row r="472" spans="4:4" x14ac:dyDescent="0.25">
      <c r="D472" t="s">
        <v>1449</v>
      </c>
    </row>
    <row r="473" spans="4:4" x14ac:dyDescent="0.25">
      <c r="D473" t="s">
        <v>1457</v>
      </c>
    </row>
    <row r="474" spans="4:4" x14ac:dyDescent="0.25">
      <c r="D474" t="s">
        <v>1463</v>
      </c>
    </row>
    <row r="475" spans="4:4" x14ac:dyDescent="0.25">
      <c r="D475" t="s">
        <v>1468</v>
      </c>
    </row>
    <row r="476" spans="4:4" x14ac:dyDescent="0.25">
      <c r="D476" t="s">
        <v>1474</v>
      </c>
    </row>
    <row r="477" spans="4:4" x14ac:dyDescent="0.25">
      <c r="D477" t="s">
        <v>1480</v>
      </c>
    </row>
    <row r="478" spans="4:4" x14ac:dyDescent="0.25">
      <c r="D478" t="s">
        <v>1486</v>
      </c>
    </row>
    <row r="479" spans="4:4" x14ac:dyDescent="0.25">
      <c r="D479" t="s">
        <v>1489</v>
      </c>
    </row>
    <row r="480" spans="4:4" x14ac:dyDescent="0.25">
      <c r="D480" t="s">
        <v>1493</v>
      </c>
    </row>
    <row r="481" spans="4:4" x14ac:dyDescent="0.25">
      <c r="D481" t="s">
        <v>1498</v>
      </c>
    </row>
    <row r="482" spans="4:4" x14ac:dyDescent="0.25">
      <c r="D482" t="s">
        <v>1504</v>
      </c>
    </row>
    <row r="483" spans="4:4" x14ac:dyDescent="0.25">
      <c r="D483" t="s">
        <v>1509</v>
      </c>
    </row>
    <row r="484" spans="4:4" x14ac:dyDescent="0.25">
      <c r="D484" t="s">
        <v>1516</v>
      </c>
    </row>
    <row r="485" spans="4:4" x14ac:dyDescent="0.25">
      <c r="D485" t="s">
        <v>1522</v>
      </c>
    </row>
    <row r="486" spans="4:4" x14ac:dyDescent="0.25">
      <c r="D486" t="s">
        <v>913</v>
      </c>
    </row>
    <row r="487" spans="4:4" x14ac:dyDescent="0.25">
      <c r="D487" t="s">
        <v>915</v>
      </c>
    </row>
    <row r="488" spans="4:4" x14ac:dyDescent="0.25">
      <c r="D488" t="s">
        <v>1537</v>
      </c>
    </row>
    <row r="489" spans="4:4" x14ac:dyDescent="0.25">
      <c r="D489" t="s">
        <v>1544</v>
      </c>
    </row>
    <row r="490" spans="4:4" x14ac:dyDescent="0.25">
      <c r="D490" t="s">
        <v>1249</v>
      </c>
    </row>
    <row r="491" spans="4:4" x14ac:dyDescent="0.25">
      <c r="D491" t="s">
        <v>1260</v>
      </c>
    </row>
    <row r="492" spans="4:4" x14ac:dyDescent="0.25">
      <c r="D492" t="s">
        <v>1268</v>
      </c>
    </row>
    <row r="493" spans="4:4" x14ac:dyDescent="0.25">
      <c r="D493" t="s">
        <v>1277</v>
      </c>
    </row>
    <row r="494" spans="4:4" x14ac:dyDescent="0.25">
      <c r="D494" t="s">
        <v>1286</v>
      </c>
    </row>
    <row r="495" spans="4:4" x14ac:dyDescent="0.25">
      <c r="D495" t="s">
        <v>1295</v>
      </c>
    </row>
    <row r="496" spans="4:4" x14ac:dyDescent="0.25">
      <c r="D496" t="s">
        <v>1305</v>
      </c>
    </row>
    <row r="497" spans="4:4" x14ac:dyDescent="0.25">
      <c r="D497" t="s">
        <v>1311</v>
      </c>
    </row>
    <row r="498" spans="4:4" x14ac:dyDescent="0.25">
      <c r="D498" t="s">
        <v>1320</v>
      </c>
    </row>
    <row r="499" spans="4:4" x14ac:dyDescent="0.25">
      <c r="D499" t="s">
        <v>1327</v>
      </c>
    </row>
    <row r="500" spans="4:4" x14ac:dyDescent="0.25">
      <c r="D500" t="s">
        <v>1337</v>
      </c>
    </row>
    <row r="501" spans="4:4" x14ac:dyDescent="0.25">
      <c r="D501" t="s">
        <v>1347</v>
      </c>
    </row>
    <row r="502" spans="4:4" x14ac:dyDescent="0.25">
      <c r="D502" t="s">
        <v>1358</v>
      </c>
    </row>
    <row r="503" spans="4:4" x14ac:dyDescent="0.25">
      <c r="D503" t="s">
        <v>1367</v>
      </c>
    </row>
    <row r="504" spans="4:4" x14ac:dyDescent="0.25">
      <c r="D504" t="s">
        <v>1375</v>
      </c>
    </row>
    <row r="505" spans="4:4" x14ac:dyDescent="0.25">
      <c r="D505" t="s">
        <v>1384</v>
      </c>
    </row>
    <row r="506" spans="4:4" x14ac:dyDescent="0.25">
      <c r="D506" t="s">
        <v>1393</v>
      </c>
    </row>
    <row r="507" spans="4:4" x14ac:dyDescent="0.25">
      <c r="D507" t="s">
        <v>1402</v>
      </c>
    </row>
    <row r="508" spans="4:4" x14ac:dyDescent="0.25">
      <c r="D508" t="s">
        <v>1410</v>
      </c>
    </row>
    <row r="509" spans="4:4" x14ac:dyDescent="0.25">
      <c r="D509" t="s">
        <v>1419</v>
      </c>
    </row>
    <row r="510" spans="4:4" x14ac:dyDescent="0.25">
      <c r="D510" t="s">
        <v>1427</v>
      </c>
    </row>
    <row r="511" spans="4:4" x14ac:dyDescent="0.25">
      <c r="D511" t="s">
        <v>1435</v>
      </c>
    </row>
    <row r="512" spans="4:4" x14ac:dyDescent="0.25">
      <c r="D512" t="s">
        <v>1443</v>
      </c>
    </row>
    <row r="513" spans="4:4" x14ac:dyDescent="0.25">
      <c r="D513" t="s">
        <v>1450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31"/>
  <sheetViews>
    <sheetView zoomScale="70" zoomScaleNormal="70" workbookViewId="0"/>
  </sheetViews>
  <sheetFormatPr defaultRowHeight="15" x14ac:dyDescent="0.25"/>
  <cols>
    <col min="1" max="1" width="77.140625" customWidth="1"/>
    <col min="13" max="13" width="77.140625" style="227" customWidth="1"/>
    <col min="14" max="21" width="9.140625" style="227"/>
  </cols>
  <sheetData>
    <row r="1" spans="1:21" x14ac:dyDescent="0.25">
      <c r="A1" s="1" t="s">
        <v>3764</v>
      </c>
      <c r="M1" s="1"/>
    </row>
    <row r="2" spans="1:21" x14ac:dyDescent="0.25">
      <c r="A2" s="104" t="s">
        <v>3757</v>
      </c>
      <c r="B2" t="s">
        <v>1798</v>
      </c>
      <c r="C2" t="s">
        <v>1799</v>
      </c>
      <c r="D2" t="s">
        <v>1800</v>
      </c>
      <c r="E2" t="s">
        <v>1801</v>
      </c>
      <c r="F2" t="s">
        <v>1802</v>
      </c>
      <c r="G2" t="s">
        <v>1803</v>
      </c>
      <c r="H2" t="s">
        <v>1804</v>
      </c>
      <c r="I2" t="s">
        <v>1805</v>
      </c>
      <c r="M2" s="104" t="s">
        <v>3756</v>
      </c>
      <c r="N2" s="227" t="s">
        <v>1798</v>
      </c>
      <c r="O2" s="227" t="s">
        <v>1799</v>
      </c>
      <c r="P2" s="227" t="s">
        <v>1800</v>
      </c>
      <c r="Q2" s="227" t="s">
        <v>1801</v>
      </c>
      <c r="R2" s="227" t="s">
        <v>1802</v>
      </c>
      <c r="S2" s="227" t="s">
        <v>1803</v>
      </c>
      <c r="T2" s="227" t="s">
        <v>1804</v>
      </c>
      <c r="U2" s="227" t="s">
        <v>1805</v>
      </c>
    </row>
    <row r="3" spans="1:21" x14ac:dyDescent="0.25">
      <c r="A3" t="s">
        <v>1806</v>
      </c>
      <c r="B3">
        <v>93</v>
      </c>
      <c r="C3">
        <v>-0.71977709999999995</v>
      </c>
      <c r="D3">
        <v>-2.0809221</v>
      </c>
      <c r="E3">
        <v>4.0899795000000003E-3</v>
      </c>
      <c r="F3">
        <v>5.3046543000000002E-2</v>
      </c>
      <c r="G3">
        <v>4.3999999999999997E-2</v>
      </c>
      <c r="H3">
        <v>2393</v>
      </c>
      <c r="I3" t="s">
        <v>1807</v>
      </c>
      <c r="M3" s="227" t="s">
        <v>1806</v>
      </c>
      <c r="N3" s="227">
        <v>93</v>
      </c>
      <c r="O3" s="227">
        <v>-0.71977709999999995</v>
      </c>
      <c r="P3" s="227">
        <v>-2.0809221</v>
      </c>
      <c r="Q3" s="227">
        <v>4.0899795000000003E-3</v>
      </c>
      <c r="R3" s="227">
        <v>5.3046543000000002E-2</v>
      </c>
      <c r="S3" s="227">
        <v>4.3999999999999997E-2</v>
      </c>
      <c r="T3" s="227">
        <v>2393</v>
      </c>
      <c r="U3" s="227" t="s">
        <v>1807</v>
      </c>
    </row>
    <row r="4" spans="1:21" x14ac:dyDescent="0.25">
      <c r="A4" t="s">
        <v>1808</v>
      </c>
      <c r="B4">
        <v>138</v>
      </c>
      <c r="C4">
        <v>-0.7200107</v>
      </c>
      <c r="D4">
        <v>-2.0735964999999998</v>
      </c>
      <c r="E4">
        <v>4.1666669999999998E-3</v>
      </c>
      <c r="F4">
        <v>3.0233834000000001E-2</v>
      </c>
      <c r="G4">
        <v>5.0999999999999997E-2</v>
      </c>
      <c r="H4">
        <v>2393</v>
      </c>
      <c r="I4" t="s">
        <v>1809</v>
      </c>
      <c r="M4" s="227" t="s">
        <v>1808</v>
      </c>
      <c r="N4" s="227">
        <v>138</v>
      </c>
      <c r="O4" s="227">
        <v>-0.7200107</v>
      </c>
      <c r="P4" s="227">
        <v>-2.0735964999999998</v>
      </c>
      <c r="Q4" s="227">
        <v>4.1666669999999998E-3</v>
      </c>
      <c r="R4" s="227">
        <v>3.0233834000000001E-2</v>
      </c>
      <c r="S4" s="227">
        <v>5.0999999999999997E-2</v>
      </c>
      <c r="T4" s="227">
        <v>2393</v>
      </c>
      <c r="U4" s="227" t="s">
        <v>1809</v>
      </c>
    </row>
    <row r="5" spans="1:21" x14ac:dyDescent="0.25">
      <c r="A5" t="s">
        <v>1810</v>
      </c>
      <c r="B5">
        <v>50</v>
      </c>
      <c r="C5">
        <v>-0.8189147</v>
      </c>
      <c r="D5">
        <v>-2.042144</v>
      </c>
      <c r="E5">
        <v>2.0576129999999998E-3</v>
      </c>
      <c r="F5">
        <v>2.8362378000000001E-2</v>
      </c>
      <c r="G5">
        <v>7.6999999999999999E-2</v>
      </c>
      <c r="H5">
        <v>2294</v>
      </c>
      <c r="I5" t="s">
        <v>1811</v>
      </c>
      <c r="M5" s="227" t="s">
        <v>1810</v>
      </c>
      <c r="N5" s="227">
        <v>50</v>
      </c>
      <c r="O5" s="227">
        <v>-0.8189147</v>
      </c>
      <c r="P5" s="227">
        <v>-2.042144</v>
      </c>
      <c r="Q5" s="227">
        <v>2.0576129999999998E-3</v>
      </c>
      <c r="R5" s="227">
        <v>2.8362378000000001E-2</v>
      </c>
      <c r="S5" s="227">
        <v>7.6999999999999999E-2</v>
      </c>
      <c r="T5" s="227">
        <v>2294</v>
      </c>
      <c r="U5" s="227" t="s">
        <v>1811</v>
      </c>
    </row>
    <row r="6" spans="1:21" x14ac:dyDescent="0.25">
      <c r="A6" t="s">
        <v>1812</v>
      </c>
      <c r="B6">
        <v>82</v>
      </c>
      <c r="C6">
        <v>-0.73897380000000001</v>
      </c>
      <c r="D6">
        <v>-2.0323042999999998</v>
      </c>
      <c r="E6">
        <v>4.1580039999999999E-3</v>
      </c>
      <c r="F6">
        <v>2.4059819999999999E-2</v>
      </c>
      <c r="G6">
        <v>8.4000000000000005E-2</v>
      </c>
      <c r="H6">
        <v>2393</v>
      </c>
      <c r="I6" t="s">
        <v>1813</v>
      </c>
      <c r="M6" s="227" t="s">
        <v>1812</v>
      </c>
      <c r="N6" s="227">
        <v>82</v>
      </c>
      <c r="O6" s="227">
        <v>-0.73897380000000001</v>
      </c>
      <c r="P6" s="227">
        <v>-2.0323042999999998</v>
      </c>
      <c r="Q6" s="227">
        <v>4.1580039999999999E-3</v>
      </c>
      <c r="R6" s="227">
        <v>2.4059819999999999E-2</v>
      </c>
      <c r="S6" s="227">
        <v>8.4000000000000005E-2</v>
      </c>
      <c r="T6" s="227">
        <v>2393</v>
      </c>
      <c r="U6" s="227" t="s">
        <v>1813</v>
      </c>
    </row>
    <row r="7" spans="1:21" x14ac:dyDescent="0.25">
      <c r="A7" t="s">
        <v>1814</v>
      </c>
      <c r="B7">
        <v>71</v>
      </c>
      <c r="C7">
        <v>-0.72985610000000001</v>
      </c>
      <c r="D7">
        <v>-2.0282456999999998</v>
      </c>
      <c r="E7">
        <v>6.1601642999999998E-3</v>
      </c>
      <c r="F7">
        <v>2.0367421E-2</v>
      </c>
      <c r="G7">
        <v>8.5999999999999993E-2</v>
      </c>
      <c r="H7">
        <v>2385</v>
      </c>
      <c r="I7" t="s">
        <v>1815</v>
      </c>
      <c r="M7" s="227" t="s">
        <v>1814</v>
      </c>
      <c r="N7" s="227">
        <v>71</v>
      </c>
      <c r="O7" s="227">
        <v>-0.72985610000000001</v>
      </c>
      <c r="P7" s="227">
        <v>-2.0282456999999998</v>
      </c>
      <c r="Q7" s="227">
        <v>6.1601642999999998E-3</v>
      </c>
      <c r="R7" s="227">
        <v>2.0367421E-2</v>
      </c>
      <c r="S7" s="227">
        <v>8.5999999999999993E-2</v>
      </c>
      <c r="T7" s="227">
        <v>2385</v>
      </c>
      <c r="U7" s="227" t="s">
        <v>1815</v>
      </c>
    </row>
    <row r="8" spans="1:21" x14ac:dyDescent="0.25">
      <c r="A8" t="s">
        <v>1816</v>
      </c>
      <c r="B8">
        <v>63</v>
      </c>
      <c r="C8">
        <v>-0.78780114999999995</v>
      </c>
      <c r="D8">
        <v>-2.0197395999999999</v>
      </c>
      <c r="E8">
        <v>4.1237115000000001E-3</v>
      </c>
      <c r="F8">
        <v>1.9663601999999999E-2</v>
      </c>
      <c r="G8">
        <v>0.1</v>
      </c>
      <c r="H8">
        <v>2385</v>
      </c>
      <c r="I8" t="s">
        <v>1817</v>
      </c>
      <c r="M8" s="227" t="s">
        <v>1816</v>
      </c>
      <c r="N8" s="227">
        <v>63</v>
      </c>
      <c r="O8" s="227">
        <v>-0.78780114999999995</v>
      </c>
      <c r="P8" s="227">
        <v>-2.0197395999999999</v>
      </c>
      <c r="Q8" s="227">
        <v>4.1237115000000001E-3</v>
      </c>
      <c r="R8" s="227">
        <v>1.9663601999999999E-2</v>
      </c>
      <c r="S8" s="227">
        <v>0.1</v>
      </c>
      <c r="T8" s="227">
        <v>2385</v>
      </c>
      <c r="U8" s="227" t="s">
        <v>1817</v>
      </c>
    </row>
    <row r="9" spans="1:21" x14ac:dyDescent="0.25">
      <c r="A9" t="s">
        <v>1818</v>
      </c>
      <c r="B9">
        <v>330</v>
      </c>
      <c r="C9">
        <v>-0.60726919999999995</v>
      </c>
      <c r="D9">
        <v>-1.9454114</v>
      </c>
      <c r="E9">
        <v>8.5470089999999995E-3</v>
      </c>
      <c r="F9">
        <v>4.1566942000000003E-2</v>
      </c>
      <c r="G9">
        <v>0.22</v>
      </c>
      <c r="H9">
        <v>3608</v>
      </c>
      <c r="I9" t="s">
        <v>1819</v>
      </c>
      <c r="M9" s="227" t="s">
        <v>1818</v>
      </c>
      <c r="N9" s="227">
        <v>330</v>
      </c>
      <c r="O9" s="227">
        <v>-0.60726919999999995</v>
      </c>
      <c r="P9" s="227">
        <v>-1.9454114</v>
      </c>
      <c r="Q9" s="227">
        <v>8.5470089999999995E-3</v>
      </c>
      <c r="R9" s="227">
        <v>4.1566942000000003E-2</v>
      </c>
      <c r="S9" s="227">
        <v>0.22</v>
      </c>
      <c r="T9" s="227">
        <v>3608</v>
      </c>
      <c r="U9" s="227" t="s">
        <v>1819</v>
      </c>
    </row>
    <row r="10" spans="1:21" x14ac:dyDescent="0.25">
      <c r="A10" t="s">
        <v>1820</v>
      </c>
      <c r="B10">
        <v>46</v>
      </c>
      <c r="C10">
        <v>-0.72812569999999999</v>
      </c>
      <c r="D10">
        <v>-1.9362623999999999</v>
      </c>
      <c r="E10">
        <v>6.2761507000000001E-3</v>
      </c>
      <c r="F10">
        <v>3.9797633999999998E-2</v>
      </c>
      <c r="G10">
        <v>0.23499999999999999</v>
      </c>
      <c r="H10">
        <v>1995</v>
      </c>
      <c r="I10" t="s">
        <v>1821</v>
      </c>
      <c r="M10" s="227" t="s">
        <v>1820</v>
      </c>
      <c r="N10" s="227">
        <v>46</v>
      </c>
      <c r="O10" s="227">
        <v>-0.72812569999999999</v>
      </c>
      <c r="P10" s="227">
        <v>-1.9362623999999999</v>
      </c>
      <c r="Q10" s="227">
        <v>6.2761507000000001E-3</v>
      </c>
      <c r="R10" s="227">
        <v>3.9797633999999998E-2</v>
      </c>
      <c r="S10" s="227">
        <v>0.23499999999999999</v>
      </c>
      <c r="T10" s="227">
        <v>1995</v>
      </c>
      <c r="U10" s="227" t="s">
        <v>1821</v>
      </c>
    </row>
    <row r="11" spans="1:21" x14ac:dyDescent="0.25">
      <c r="A11" t="s">
        <v>1822</v>
      </c>
      <c r="B11">
        <v>46</v>
      </c>
      <c r="C11">
        <v>-0.72812569999999999</v>
      </c>
      <c r="D11">
        <v>-1.9362623999999999</v>
      </c>
      <c r="E11">
        <v>6.2761507000000001E-3</v>
      </c>
      <c r="F11">
        <v>3.5375673000000003E-2</v>
      </c>
      <c r="G11">
        <v>0.23499999999999999</v>
      </c>
      <c r="H11">
        <v>1995</v>
      </c>
      <c r="I11" t="s">
        <v>1821</v>
      </c>
      <c r="M11" s="227" t="s">
        <v>1822</v>
      </c>
      <c r="N11" s="227">
        <v>46</v>
      </c>
      <c r="O11" s="227">
        <v>-0.72812569999999999</v>
      </c>
      <c r="P11" s="227">
        <v>-1.9362623999999999</v>
      </c>
      <c r="Q11" s="227">
        <v>6.2761507000000001E-3</v>
      </c>
      <c r="R11" s="227">
        <v>3.5375673000000003E-2</v>
      </c>
      <c r="S11" s="227">
        <v>0.23499999999999999</v>
      </c>
      <c r="T11" s="227">
        <v>1995</v>
      </c>
      <c r="U11" s="227" t="s">
        <v>1821</v>
      </c>
    </row>
    <row r="12" spans="1:21" x14ac:dyDescent="0.25">
      <c r="A12" t="s">
        <v>1823</v>
      </c>
      <c r="B12">
        <v>37</v>
      </c>
      <c r="C12">
        <v>-0.70868456000000002</v>
      </c>
      <c r="D12">
        <v>-1.8593812999999999</v>
      </c>
      <c r="E12">
        <v>4.2918454999999996E-3</v>
      </c>
      <c r="F12">
        <v>7.5504329999999995E-2</v>
      </c>
      <c r="G12">
        <v>0.41299999999999998</v>
      </c>
      <c r="H12">
        <v>3443</v>
      </c>
      <c r="I12" t="s">
        <v>1824</v>
      </c>
      <c r="M12" s="227" t="s">
        <v>1823</v>
      </c>
      <c r="N12" s="227">
        <v>37</v>
      </c>
      <c r="O12" s="227">
        <v>-0.70868456000000002</v>
      </c>
      <c r="P12" s="227">
        <v>-1.8593812999999999</v>
      </c>
      <c r="Q12" s="227">
        <v>4.2918454999999996E-3</v>
      </c>
      <c r="R12" s="227">
        <v>7.5504329999999995E-2</v>
      </c>
      <c r="S12" s="227">
        <v>0.41299999999999998</v>
      </c>
      <c r="T12" s="227">
        <v>3443</v>
      </c>
      <c r="U12" s="227" t="s">
        <v>1824</v>
      </c>
    </row>
    <row r="13" spans="1:21" x14ac:dyDescent="0.25">
      <c r="A13" t="s">
        <v>1825</v>
      </c>
      <c r="B13">
        <v>24</v>
      </c>
      <c r="C13">
        <v>-0.64225969999999999</v>
      </c>
      <c r="D13">
        <v>-1.8508085999999999</v>
      </c>
      <c r="E13">
        <v>2.1097045000000002E-3</v>
      </c>
      <c r="F13">
        <v>7.5973330000000006E-2</v>
      </c>
      <c r="G13">
        <v>0.437</v>
      </c>
      <c r="H13">
        <v>4877</v>
      </c>
      <c r="I13" t="s">
        <v>1826</v>
      </c>
      <c r="M13" s="227" t="s">
        <v>1825</v>
      </c>
      <c r="N13" s="227">
        <v>24</v>
      </c>
      <c r="O13" s="227">
        <v>-0.64225969999999999</v>
      </c>
      <c r="P13" s="227">
        <v>-1.8508085999999999</v>
      </c>
      <c r="Q13" s="227">
        <v>2.1097045000000002E-3</v>
      </c>
      <c r="R13" s="227">
        <v>7.5973330000000006E-2</v>
      </c>
      <c r="S13" s="227">
        <v>0.437</v>
      </c>
      <c r="T13" s="227">
        <v>4877</v>
      </c>
      <c r="U13" s="227" t="s">
        <v>1826</v>
      </c>
    </row>
    <row r="14" spans="1:21" x14ac:dyDescent="0.25">
      <c r="A14" t="s">
        <v>1827</v>
      </c>
      <c r="B14">
        <v>22</v>
      </c>
      <c r="C14">
        <v>-0.83043560000000005</v>
      </c>
      <c r="D14">
        <v>-1.8496102000000001</v>
      </c>
      <c r="E14">
        <v>2.1097045000000002E-3</v>
      </c>
      <c r="F14">
        <v>7.0573289999999997E-2</v>
      </c>
      <c r="G14">
        <v>0.44400000000000001</v>
      </c>
      <c r="H14">
        <v>1995</v>
      </c>
      <c r="I14" t="s">
        <v>1828</v>
      </c>
      <c r="M14" s="227" t="s">
        <v>1827</v>
      </c>
      <c r="N14" s="227">
        <v>22</v>
      </c>
      <c r="O14" s="227">
        <v>-0.83043560000000005</v>
      </c>
      <c r="P14" s="227">
        <v>-1.8496102000000001</v>
      </c>
      <c r="Q14" s="227">
        <v>2.1097045000000002E-3</v>
      </c>
      <c r="R14" s="227">
        <v>7.0573289999999997E-2</v>
      </c>
      <c r="S14" s="227">
        <v>0.44400000000000001</v>
      </c>
      <c r="T14" s="227">
        <v>1995</v>
      </c>
      <c r="U14" s="227" t="s">
        <v>1828</v>
      </c>
    </row>
    <row r="15" spans="1:21" x14ac:dyDescent="0.25">
      <c r="A15" t="s">
        <v>1829</v>
      </c>
      <c r="B15">
        <v>22</v>
      </c>
      <c r="C15">
        <v>-0.83043560000000005</v>
      </c>
      <c r="D15">
        <v>-1.8496102000000001</v>
      </c>
      <c r="E15">
        <v>2.1097045000000002E-3</v>
      </c>
      <c r="F15">
        <v>6.5144575999999996E-2</v>
      </c>
      <c r="G15">
        <v>0.44400000000000001</v>
      </c>
      <c r="H15">
        <v>1995</v>
      </c>
      <c r="I15" t="s">
        <v>1828</v>
      </c>
      <c r="M15" s="227" t="s">
        <v>1829</v>
      </c>
      <c r="N15" s="227">
        <v>22</v>
      </c>
      <c r="O15" s="227">
        <v>-0.83043560000000005</v>
      </c>
      <c r="P15" s="227">
        <v>-1.8496102000000001</v>
      </c>
      <c r="Q15" s="227">
        <v>2.1097045000000002E-3</v>
      </c>
      <c r="R15" s="227">
        <v>6.5144575999999996E-2</v>
      </c>
      <c r="S15" s="227">
        <v>0.44400000000000001</v>
      </c>
      <c r="T15" s="227">
        <v>1995</v>
      </c>
      <c r="U15" s="227" t="s">
        <v>1828</v>
      </c>
    </row>
    <row r="16" spans="1:21" x14ac:dyDescent="0.25">
      <c r="A16" t="s">
        <v>1830</v>
      </c>
      <c r="B16">
        <v>15</v>
      </c>
      <c r="C16">
        <v>-0.80458669999999999</v>
      </c>
      <c r="D16">
        <v>-1.8450713000000001</v>
      </c>
      <c r="E16">
        <v>8.3333339999999995E-3</v>
      </c>
      <c r="F16">
        <v>6.4121440000000002E-2</v>
      </c>
      <c r="G16">
        <v>0.45800000000000002</v>
      </c>
      <c r="H16">
        <v>1435</v>
      </c>
      <c r="I16" t="s">
        <v>1831</v>
      </c>
      <c r="M16" s="227" t="s">
        <v>1830</v>
      </c>
      <c r="N16" s="227">
        <v>15</v>
      </c>
      <c r="O16" s="227">
        <v>-0.80458669999999999</v>
      </c>
      <c r="P16" s="227">
        <v>-1.8450713000000001</v>
      </c>
      <c r="Q16" s="227">
        <v>8.3333339999999995E-3</v>
      </c>
      <c r="R16" s="227">
        <v>6.4121440000000002E-2</v>
      </c>
      <c r="S16" s="227">
        <v>0.45800000000000002</v>
      </c>
      <c r="T16" s="227">
        <v>1435</v>
      </c>
      <c r="U16" s="227" t="s">
        <v>1831</v>
      </c>
    </row>
    <row r="17" spans="1:21" x14ac:dyDescent="0.25">
      <c r="A17" t="s">
        <v>1832</v>
      </c>
      <c r="B17">
        <v>23</v>
      </c>
      <c r="C17">
        <v>-0.84369989999999995</v>
      </c>
      <c r="D17">
        <v>-1.8422755</v>
      </c>
      <c r="E17">
        <v>4.2016809999999996E-3</v>
      </c>
      <c r="F17">
        <v>6.1442554000000003E-2</v>
      </c>
      <c r="G17">
        <v>0.46899999999999997</v>
      </c>
      <c r="H17">
        <v>2248</v>
      </c>
      <c r="I17" t="s">
        <v>1833</v>
      </c>
      <c r="M17" s="227" t="s">
        <v>1832</v>
      </c>
      <c r="N17" s="227">
        <v>23</v>
      </c>
      <c r="O17" s="227">
        <v>-0.84369989999999995</v>
      </c>
      <c r="P17" s="227">
        <v>-1.8422755</v>
      </c>
      <c r="Q17" s="227">
        <v>4.2016809999999996E-3</v>
      </c>
      <c r="R17" s="227">
        <v>6.1442554000000003E-2</v>
      </c>
      <c r="S17" s="227">
        <v>0.46899999999999997</v>
      </c>
      <c r="T17" s="227">
        <v>2248</v>
      </c>
      <c r="U17" s="227" t="s">
        <v>1833</v>
      </c>
    </row>
    <row r="18" spans="1:21" x14ac:dyDescent="0.25">
      <c r="A18" t="s">
        <v>1834</v>
      </c>
      <c r="B18">
        <v>37</v>
      </c>
      <c r="C18">
        <v>-0.60261714</v>
      </c>
      <c r="D18">
        <v>-1.8337490000000001</v>
      </c>
      <c r="E18">
        <v>2.0661156999999999E-2</v>
      </c>
      <c r="F18">
        <v>6.3122319999999996E-2</v>
      </c>
      <c r="G18">
        <v>0.503</v>
      </c>
      <c r="H18">
        <v>2737</v>
      </c>
      <c r="I18" t="s">
        <v>1835</v>
      </c>
      <c r="M18" s="227" t="s">
        <v>1834</v>
      </c>
      <c r="N18" s="227">
        <v>37</v>
      </c>
      <c r="O18" s="227">
        <v>-0.60261714</v>
      </c>
      <c r="P18" s="227">
        <v>-1.8337490000000001</v>
      </c>
      <c r="Q18" s="227">
        <v>2.0661156999999999E-2</v>
      </c>
      <c r="R18" s="227">
        <v>6.3122319999999996E-2</v>
      </c>
      <c r="S18" s="227">
        <v>0.503</v>
      </c>
      <c r="T18" s="227">
        <v>2737</v>
      </c>
      <c r="U18" s="227" t="s">
        <v>1835</v>
      </c>
    </row>
    <row r="19" spans="1:21" x14ac:dyDescent="0.25">
      <c r="A19" t="s">
        <v>1836</v>
      </c>
      <c r="B19">
        <v>20</v>
      </c>
      <c r="C19">
        <v>-0.80608683999999997</v>
      </c>
      <c r="D19">
        <v>-1.8177509000000001</v>
      </c>
      <c r="E19">
        <v>2.105263E-3</v>
      </c>
      <c r="F19">
        <v>7.0219690000000001E-2</v>
      </c>
      <c r="G19">
        <v>0.55700000000000005</v>
      </c>
      <c r="H19">
        <v>1995</v>
      </c>
      <c r="I19" t="s">
        <v>1837</v>
      </c>
      <c r="M19" s="227" t="s">
        <v>1836</v>
      </c>
      <c r="N19" s="227">
        <v>20</v>
      </c>
      <c r="O19" s="227">
        <v>-0.80608683999999997</v>
      </c>
      <c r="P19" s="227">
        <v>-1.8177509000000001</v>
      </c>
      <c r="Q19" s="227">
        <v>2.105263E-3</v>
      </c>
      <c r="R19" s="227">
        <v>7.0219690000000001E-2</v>
      </c>
      <c r="S19" s="227">
        <v>0.55700000000000005</v>
      </c>
      <c r="T19" s="227">
        <v>1995</v>
      </c>
      <c r="U19" s="227" t="s">
        <v>1837</v>
      </c>
    </row>
    <row r="20" spans="1:21" x14ac:dyDescent="0.25">
      <c r="A20" t="s">
        <v>1838</v>
      </c>
      <c r="B20">
        <v>162</v>
      </c>
      <c r="C20">
        <v>-0.46876649999999997</v>
      </c>
      <c r="D20">
        <v>-1.768424</v>
      </c>
      <c r="E20">
        <v>1.8595041999999999E-2</v>
      </c>
      <c r="F20">
        <v>0.108444706</v>
      </c>
      <c r="G20">
        <v>0.70399999999999996</v>
      </c>
      <c r="H20">
        <v>2393</v>
      </c>
      <c r="I20" t="s">
        <v>1839</v>
      </c>
      <c r="M20" s="227" t="s">
        <v>1838</v>
      </c>
      <c r="N20" s="227">
        <v>162</v>
      </c>
      <c r="O20" s="227">
        <v>-0.46876649999999997</v>
      </c>
      <c r="P20" s="227">
        <v>-1.768424</v>
      </c>
      <c r="Q20" s="227">
        <v>1.8595041999999999E-2</v>
      </c>
      <c r="R20" s="227">
        <v>0.108444706</v>
      </c>
      <c r="S20" s="227">
        <v>0.70399999999999996</v>
      </c>
      <c r="T20" s="227">
        <v>2393</v>
      </c>
      <c r="U20" s="227" t="s">
        <v>1839</v>
      </c>
    </row>
    <row r="21" spans="1:21" x14ac:dyDescent="0.25">
      <c r="A21" t="s">
        <v>1840</v>
      </c>
      <c r="B21">
        <v>162</v>
      </c>
      <c r="C21">
        <v>-0.46876647999999999</v>
      </c>
      <c r="D21">
        <v>-1.7684238999999999</v>
      </c>
      <c r="E21">
        <v>1.8595041999999999E-2</v>
      </c>
      <c r="F21">
        <v>0.10273708400000001</v>
      </c>
      <c r="G21">
        <v>0.70399999999999996</v>
      </c>
      <c r="H21">
        <v>2393</v>
      </c>
      <c r="I21" t="s">
        <v>1839</v>
      </c>
      <c r="M21" s="227" t="s">
        <v>1840</v>
      </c>
      <c r="N21" s="227">
        <v>162</v>
      </c>
      <c r="O21" s="227">
        <v>-0.46876647999999999</v>
      </c>
      <c r="P21" s="227">
        <v>-1.7684238999999999</v>
      </c>
      <c r="Q21" s="227">
        <v>1.8595041999999999E-2</v>
      </c>
      <c r="R21" s="227">
        <v>0.10273708400000001</v>
      </c>
      <c r="S21" s="227">
        <v>0.70399999999999996</v>
      </c>
      <c r="T21" s="227">
        <v>2393</v>
      </c>
      <c r="U21" s="227" t="s">
        <v>1839</v>
      </c>
    </row>
    <row r="22" spans="1:21" x14ac:dyDescent="0.25">
      <c r="A22" t="s">
        <v>1841</v>
      </c>
      <c r="B22">
        <v>25</v>
      </c>
      <c r="C22">
        <v>-0.64941130000000002</v>
      </c>
      <c r="D22">
        <v>-1.7591515</v>
      </c>
      <c r="E22">
        <v>1.7699115000000001E-2</v>
      </c>
      <c r="F22">
        <v>0.10654281</v>
      </c>
      <c r="G22">
        <v>0.72399999999999998</v>
      </c>
      <c r="H22">
        <v>1784</v>
      </c>
      <c r="I22" t="s">
        <v>1842</v>
      </c>
      <c r="M22" s="227" t="s">
        <v>1841</v>
      </c>
      <c r="N22" s="227">
        <v>25</v>
      </c>
      <c r="O22" s="227">
        <v>-0.64941130000000002</v>
      </c>
      <c r="P22" s="227">
        <v>-1.7591515</v>
      </c>
      <c r="Q22" s="227">
        <v>1.7699115000000001E-2</v>
      </c>
      <c r="R22" s="227">
        <v>0.10654281</v>
      </c>
      <c r="S22" s="227">
        <v>0.72399999999999998</v>
      </c>
      <c r="T22" s="227">
        <v>1784</v>
      </c>
      <c r="U22" s="227" t="s">
        <v>1842</v>
      </c>
    </row>
    <row r="23" spans="1:21" x14ac:dyDescent="0.25">
      <c r="A23" t="s">
        <v>1843</v>
      </c>
      <c r="B23">
        <v>15</v>
      </c>
      <c r="C23">
        <v>-0.77913909999999997</v>
      </c>
      <c r="D23">
        <v>-1.7293852999999999</v>
      </c>
      <c r="E23">
        <v>1.8789144000000001E-2</v>
      </c>
      <c r="F23">
        <v>0.13333721000000001</v>
      </c>
      <c r="G23">
        <v>0.79600000000000004</v>
      </c>
      <c r="H23">
        <v>3205</v>
      </c>
      <c r="I23" t="s">
        <v>1844</v>
      </c>
      <c r="M23" s="227" t="s">
        <v>1843</v>
      </c>
      <c r="N23" s="227">
        <v>15</v>
      </c>
      <c r="O23" s="227">
        <v>-0.77913909999999997</v>
      </c>
      <c r="P23" s="227">
        <v>-1.7293852999999999</v>
      </c>
      <c r="Q23" s="227">
        <v>1.8789144000000001E-2</v>
      </c>
      <c r="R23" s="227">
        <v>0.13333721000000001</v>
      </c>
      <c r="S23" s="227">
        <v>0.79600000000000004</v>
      </c>
      <c r="T23" s="227">
        <v>3205</v>
      </c>
      <c r="U23" s="227" t="s">
        <v>1844</v>
      </c>
    </row>
    <row r="24" spans="1:21" x14ac:dyDescent="0.25">
      <c r="A24" t="s">
        <v>1845</v>
      </c>
      <c r="B24">
        <v>19</v>
      </c>
      <c r="C24">
        <v>-0.78641086999999998</v>
      </c>
      <c r="D24">
        <v>-1.7196724000000001</v>
      </c>
      <c r="E24">
        <v>2.3109244000000001E-2</v>
      </c>
      <c r="F24">
        <v>0.13862511999999999</v>
      </c>
      <c r="G24">
        <v>0.82099999999999995</v>
      </c>
      <c r="H24">
        <v>3205</v>
      </c>
      <c r="I24" t="s">
        <v>1846</v>
      </c>
      <c r="M24" s="227" t="s">
        <v>1845</v>
      </c>
      <c r="N24" s="227">
        <v>19</v>
      </c>
      <c r="O24" s="227">
        <v>-0.78641086999999998</v>
      </c>
      <c r="P24" s="227">
        <v>-1.7196724000000001</v>
      </c>
      <c r="Q24" s="227">
        <v>2.3109244000000001E-2</v>
      </c>
      <c r="R24" s="227">
        <v>0.13862511999999999</v>
      </c>
      <c r="S24" s="227">
        <v>0.82099999999999995</v>
      </c>
      <c r="T24" s="227">
        <v>3205</v>
      </c>
      <c r="U24" s="227" t="s">
        <v>1846</v>
      </c>
    </row>
    <row r="25" spans="1:21" x14ac:dyDescent="0.25">
      <c r="A25" t="s">
        <v>1847</v>
      </c>
      <c r="B25">
        <v>16</v>
      </c>
      <c r="C25">
        <v>-0.60627629999999999</v>
      </c>
      <c r="D25">
        <v>-1.7174833</v>
      </c>
      <c r="E25">
        <v>1.2269937999999999E-2</v>
      </c>
      <c r="F25">
        <v>0.13478261</v>
      </c>
      <c r="G25">
        <v>0.82599999999999996</v>
      </c>
      <c r="H25">
        <v>4877</v>
      </c>
      <c r="I25" t="s">
        <v>1848</v>
      </c>
      <c r="M25" s="227" t="s">
        <v>1847</v>
      </c>
      <c r="N25" s="227">
        <v>16</v>
      </c>
      <c r="O25" s="227">
        <v>-0.60627629999999999</v>
      </c>
      <c r="P25" s="227">
        <v>-1.7174833</v>
      </c>
      <c r="Q25" s="227">
        <v>1.2269937999999999E-2</v>
      </c>
      <c r="R25" s="227">
        <v>0.13478261</v>
      </c>
      <c r="S25" s="227">
        <v>0.82599999999999996</v>
      </c>
      <c r="T25" s="227">
        <v>4877</v>
      </c>
      <c r="U25" s="227" t="s">
        <v>1848</v>
      </c>
    </row>
    <row r="26" spans="1:21" x14ac:dyDescent="0.25">
      <c r="A26" t="s">
        <v>1849</v>
      </c>
      <c r="B26">
        <v>15</v>
      </c>
      <c r="C26">
        <v>-0.60063564999999997</v>
      </c>
      <c r="D26">
        <v>-1.6940678</v>
      </c>
      <c r="E26">
        <v>1.417004E-2</v>
      </c>
      <c r="F26">
        <v>0.15880944</v>
      </c>
      <c r="G26">
        <v>0.875</v>
      </c>
      <c r="H26">
        <v>4877</v>
      </c>
      <c r="I26" t="s">
        <v>1850</v>
      </c>
      <c r="M26" s="227" t="s">
        <v>1849</v>
      </c>
      <c r="N26" s="227">
        <v>15</v>
      </c>
      <c r="O26" s="227">
        <v>-0.60063564999999997</v>
      </c>
      <c r="P26" s="227">
        <v>-1.6940678</v>
      </c>
      <c r="Q26" s="227">
        <v>1.417004E-2</v>
      </c>
      <c r="R26" s="227">
        <v>0.15880944</v>
      </c>
      <c r="S26" s="227">
        <v>0.875</v>
      </c>
      <c r="T26" s="227">
        <v>4877</v>
      </c>
      <c r="U26" s="227" t="s">
        <v>1850</v>
      </c>
    </row>
    <row r="27" spans="1:21" x14ac:dyDescent="0.25">
      <c r="A27" t="s">
        <v>1851</v>
      </c>
      <c r="B27">
        <v>29</v>
      </c>
      <c r="C27">
        <v>-0.64400469999999999</v>
      </c>
      <c r="D27">
        <v>-1.6800591</v>
      </c>
      <c r="E27">
        <v>4.7210302000000003E-2</v>
      </c>
      <c r="F27">
        <v>0.17171599000000001</v>
      </c>
      <c r="G27">
        <v>0.89600000000000002</v>
      </c>
      <c r="H27">
        <v>3669</v>
      </c>
      <c r="I27" t="s">
        <v>1852</v>
      </c>
      <c r="M27" s="227" t="s">
        <v>1851</v>
      </c>
      <c r="N27" s="227">
        <v>29</v>
      </c>
      <c r="O27" s="227">
        <v>-0.64400469999999999</v>
      </c>
      <c r="P27" s="227">
        <v>-1.6800591</v>
      </c>
      <c r="Q27" s="227">
        <v>4.7210302000000003E-2</v>
      </c>
      <c r="R27" s="227">
        <v>0.17171599000000001</v>
      </c>
      <c r="S27" s="227">
        <v>0.89600000000000002</v>
      </c>
      <c r="T27" s="227">
        <v>3669</v>
      </c>
      <c r="U27" s="227" t="s">
        <v>1852</v>
      </c>
    </row>
    <row r="28" spans="1:21" x14ac:dyDescent="0.25">
      <c r="A28" t="s">
        <v>1853</v>
      </c>
      <c r="B28">
        <v>31</v>
      </c>
      <c r="C28">
        <v>-0.54061793999999996</v>
      </c>
      <c r="D28">
        <v>-1.6722596000000001</v>
      </c>
      <c r="E28">
        <v>2.8384280000000001E-2</v>
      </c>
      <c r="F28">
        <v>0.17525315</v>
      </c>
      <c r="G28">
        <v>0.91200000000000003</v>
      </c>
      <c r="H28">
        <v>1784</v>
      </c>
      <c r="I28" t="s">
        <v>1854</v>
      </c>
      <c r="M28" s="227" t="s">
        <v>1853</v>
      </c>
      <c r="N28" s="227">
        <v>31</v>
      </c>
      <c r="O28" s="227">
        <v>-0.54061793999999996</v>
      </c>
      <c r="P28" s="227">
        <v>-1.6722596000000001</v>
      </c>
      <c r="Q28" s="227">
        <v>2.8384280000000001E-2</v>
      </c>
      <c r="R28" s="227">
        <v>0.17525315</v>
      </c>
      <c r="S28" s="227">
        <v>0.91200000000000003</v>
      </c>
      <c r="T28" s="227">
        <v>1784</v>
      </c>
      <c r="U28" s="227" t="s">
        <v>1854</v>
      </c>
    </row>
    <row r="29" spans="1:21" x14ac:dyDescent="0.25">
      <c r="A29" t="s">
        <v>1855</v>
      </c>
      <c r="B29">
        <v>53</v>
      </c>
      <c r="C29">
        <v>-0.53769670000000003</v>
      </c>
      <c r="D29">
        <v>-1.6670875999999999</v>
      </c>
      <c r="E29">
        <v>4.4491526000000003E-2</v>
      </c>
      <c r="F29">
        <v>0.17553878000000001</v>
      </c>
      <c r="G29">
        <v>0.91600000000000004</v>
      </c>
      <c r="H29">
        <v>4194</v>
      </c>
      <c r="I29" t="s">
        <v>1856</v>
      </c>
      <c r="M29" s="227" t="s">
        <v>1855</v>
      </c>
      <c r="N29" s="227">
        <v>53</v>
      </c>
      <c r="O29" s="227">
        <v>-0.53769670000000003</v>
      </c>
      <c r="P29" s="227">
        <v>-1.6670875999999999</v>
      </c>
      <c r="Q29" s="227">
        <v>4.4491526000000003E-2</v>
      </c>
      <c r="R29" s="227">
        <v>0.17553878000000001</v>
      </c>
      <c r="S29" s="227">
        <v>0.91600000000000004</v>
      </c>
      <c r="T29" s="227">
        <v>4194</v>
      </c>
      <c r="U29" s="227" t="s">
        <v>1856</v>
      </c>
    </row>
    <row r="30" spans="1:21" x14ac:dyDescent="0.25">
      <c r="A30" t="s">
        <v>1857</v>
      </c>
      <c r="B30">
        <v>18</v>
      </c>
      <c r="C30">
        <v>-0.66182359999999996</v>
      </c>
      <c r="D30">
        <v>-1.6647844000000001</v>
      </c>
      <c r="E30">
        <v>3.3264032999999998E-2</v>
      </c>
      <c r="F30">
        <v>0.17200144000000001</v>
      </c>
      <c r="G30">
        <v>0.91700000000000004</v>
      </c>
      <c r="H30">
        <v>1958</v>
      </c>
      <c r="I30" t="s">
        <v>1858</v>
      </c>
      <c r="M30" s="227" t="s">
        <v>1857</v>
      </c>
      <c r="N30" s="227">
        <v>18</v>
      </c>
      <c r="O30" s="227">
        <v>-0.66182359999999996</v>
      </c>
      <c r="P30" s="227">
        <v>-1.6647844000000001</v>
      </c>
      <c r="Q30" s="227">
        <v>3.3264032999999998E-2</v>
      </c>
      <c r="R30" s="227">
        <v>0.17200144000000001</v>
      </c>
      <c r="S30" s="227">
        <v>0.91700000000000004</v>
      </c>
      <c r="T30" s="227">
        <v>1958</v>
      </c>
      <c r="U30" s="227" t="s">
        <v>1858</v>
      </c>
    </row>
    <row r="31" spans="1:21" x14ac:dyDescent="0.25">
      <c r="A31" t="s">
        <v>1859</v>
      </c>
      <c r="B31">
        <v>46</v>
      </c>
      <c r="C31">
        <v>-0.54413676</v>
      </c>
      <c r="D31">
        <v>-1.6610263999999999</v>
      </c>
      <c r="E31">
        <v>4.4897960000000001E-2</v>
      </c>
      <c r="F31">
        <v>0.17093285999999999</v>
      </c>
      <c r="G31">
        <v>0.92100000000000004</v>
      </c>
      <c r="H31">
        <v>2410</v>
      </c>
      <c r="I31" t="s">
        <v>1860</v>
      </c>
      <c r="M31" s="227" t="s">
        <v>1859</v>
      </c>
      <c r="N31" s="227">
        <v>46</v>
      </c>
      <c r="O31" s="227">
        <v>-0.54413676</v>
      </c>
      <c r="P31" s="227">
        <v>-1.6610263999999999</v>
      </c>
      <c r="Q31" s="227">
        <v>4.4897960000000001E-2</v>
      </c>
      <c r="R31" s="227">
        <v>0.17093285999999999</v>
      </c>
      <c r="S31" s="227">
        <v>0.92100000000000004</v>
      </c>
      <c r="T31" s="227">
        <v>2410</v>
      </c>
      <c r="U31" s="227" t="s">
        <v>1860</v>
      </c>
    </row>
    <row r="32" spans="1:21" x14ac:dyDescent="0.25">
      <c r="A32" t="s">
        <v>1861</v>
      </c>
      <c r="B32">
        <v>43</v>
      </c>
      <c r="C32">
        <v>-0.48924547000000002</v>
      </c>
      <c r="D32">
        <v>-1.6379726999999999</v>
      </c>
      <c r="E32">
        <v>3.0737706E-2</v>
      </c>
      <c r="F32">
        <v>0.19630875</v>
      </c>
      <c r="G32">
        <v>0.94099999999999995</v>
      </c>
      <c r="H32">
        <v>3581</v>
      </c>
      <c r="I32" t="s">
        <v>1862</v>
      </c>
      <c r="M32" s="227" t="s">
        <v>1861</v>
      </c>
      <c r="N32" s="227">
        <v>43</v>
      </c>
      <c r="O32" s="227">
        <v>-0.48924547000000002</v>
      </c>
      <c r="P32" s="227">
        <v>-1.6379726999999999</v>
      </c>
      <c r="Q32" s="227">
        <v>3.0737706E-2</v>
      </c>
      <c r="R32" s="227">
        <v>0.19630875</v>
      </c>
      <c r="S32" s="227">
        <v>0.94099999999999995</v>
      </c>
      <c r="T32" s="227">
        <v>3581</v>
      </c>
      <c r="U32" s="227" t="s">
        <v>1862</v>
      </c>
    </row>
    <row r="33" spans="1:21" x14ac:dyDescent="0.25">
      <c r="A33" t="s">
        <v>1863</v>
      </c>
      <c r="B33">
        <v>292</v>
      </c>
      <c r="C33">
        <v>-0.37352931</v>
      </c>
      <c r="D33">
        <v>-1.6311921</v>
      </c>
      <c r="E33">
        <v>2.0703934E-2</v>
      </c>
      <c r="F33">
        <v>0.19919076999999999</v>
      </c>
      <c r="G33">
        <v>0.94599999999999995</v>
      </c>
      <c r="H33">
        <v>2737</v>
      </c>
      <c r="I33" t="s">
        <v>1864</v>
      </c>
      <c r="M33" s="227" t="s">
        <v>1863</v>
      </c>
      <c r="N33" s="227">
        <v>292</v>
      </c>
      <c r="O33" s="227">
        <v>-0.37352931</v>
      </c>
      <c r="P33" s="227">
        <v>-1.6311921</v>
      </c>
      <c r="Q33" s="227">
        <v>2.0703934E-2</v>
      </c>
      <c r="R33" s="227">
        <v>0.19919076999999999</v>
      </c>
      <c r="S33" s="227">
        <v>0.94599999999999995</v>
      </c>
      <c r="T33" s="227">
        <v>2737</v>
      </c>
      <c r="U33" s="227" t="s">
        <v>1864</v>
      </c>
    </row>
    <row r="34" spans="1:21" x14ac:dyDescent="0.25">
      <c r="A34" t="s">
        <v>1865</v>
      </c>
      <c r="B34">
        <v>27</v>
      </c>
      <c r="C34">
        <v>-0.61691576000000004</v>
      </c>
      <c r="D34">
        <v>-1.628571</v>
      </c>
      <c r="E34">
        <v>5.1282052000000002E-2</v>
      </c>
      <c r="F34">
        <v>0.19645445</v>
      </c>
      <c r="G34">
        <v>0.94899999999999995</v>
      </c>
      <c r="H34">
        <v>3669</v>
      </c>
      <c r="I34" t="s">
        <v>1866</v>
      </c>
      <c r="M34" s="227" t="s">
        <v>1865</v>
      </c>
      <c r="N34" s="227">
        <v>27</v>
      </c>
      <c r="O34" s="227">
        <v>-0.61691576000000004</v>
      </c>
      <c r="P34" s="227">
        <v>-1.628571</v>
      </c>
      <c r="Q34" s="227">
        <v>5.1282052000000002E-2</v>
      </c>
      <c r="R34" s="227">
        <v>0.19645445</v>
      </c>
      <c r="S34" s="227">
        <v>0.94899999999999995</v>
      </c>
      <c r="T34" s="227">
        <v>3669</v>
      </c>
      <c r="U34" s="227" t="s">
        <v>1866</v>
      </c>
    </row>
    <row r="35" spans="1:21" x14ac:dyDescent="0.25">
      <c r="A35" t="s">
        <v>1239</v>
      </c>
      <c r="B35">
        <v>24</v>
      </c>
      <c r="C35">
        <v>-0.63422140000000005</v>
      </c>
      <c r="D35">
        <v>-1.6172575</v>
      </c>
      <c r="E35">
        <v>7.0281125999999999E-2</v>
      </c>
      <c r="F35">
        <v>0.20712427999999999</v>
      </c>
      <c r="G35">
        <v>0.95899999999999996</v>
      </c>
      <c r="H35">
        <v>4865</v>
      </c>
      <c r="I35" t="s">
        <v>1867</v>
      </c>
      <c r="M35" s="227" t="s">
        <v>1239</v>
      </c>
      <c r="N35" s="227">
        <v>24</v>
      </c>
      <c r="O35" s="227">
        <v>-0.63422140000000005</v>
      </c>
      <c r="P35" s="227">
        <v>-1.6172575</v>
      </c>
      <c r="Q35" s="227">
        <v>7.0281125999999999E-2</v>
      </c>
      <c r="R35" s="227">
        <v>0.20712427999999999</v>
      </c>
      <c r="S35" s="227">
        <v>0.95899999999999996</v>
      </c>
      <c r="T35" s="227">
        <v>4865</v>
      </c>
      <c r="U35" s="227" t="s">
        <v>1867</v>
      </c>
    </row>
    <row r="36" spans="1:21" x14ac:dyDescent="0.25">
      <c r="A36" t="s">
        <v>1868</v>
      </c>
      <c r="B36">
        <v>78</v>
      </c>
      <c r="C36">
        <v>-0.52017749999999996</v>
      </c>
      <c r="D36">
        <v>-1.6155412</v>
      </c>
      <c r="E36">
        <v>6.3829789999999997E-2</v>
      </c>
      <c r="F36">
        <v>0.20305268000000001</v>
      </c>
      <c r="G36">
        <v>0.96</v>
      </c>
      <c r="H36">
        <v>2839</v>
      </c>
      <c r="I36" t="s">
        <v>1869</v>
      </c>
      <c r="M36" s="227" t="s">
        <v>1868</v>
      </c>
      <c r="N36" s="227">
        <v>78</v>
      </c>
      <c r="O36" s="227">
        <v>-0.52017749999999996</v>
      </c>
      <c r="P36" s="227">
        <v>-1.6155412</v>
      </c>
      <c r="Q36" s="227">
        <v>6.3829789999999997E-2</v>
      </c>
      <c r="R36" s="227">
        <v>0.20305268000000001</v>
      </c>
      <c r="S36" s="227">
        <v>0.96</v>
      </c>
      <c r="T36" s="227">
        <v>2839</v>
      </c>
      <c r="U36" s="227" t="s">
        <v>1869</v>
      </c>
    </row>
    <row r="37" spans="1:21" x14ac:dyDescent="0.25">
      <c r="A37" t="s">
        <v>1870</v>
      </c>
      <c r="B37">
        <v>23</v>
      </c>
      <c r="C37">
        <v>-0.64310765000000003</v>
      </c>
      <c r="D37">
        <v>-1.6134031</v>
      </c>
      <c r="E37">
        <v>6.1876250000000001E-2</v>
      </c>
      <c r="F37">
        <v>0.20038434999999999</v>
      </c>
      <c r="G37">
        <v>0.96</v>
      </c>
      <c r="H37">
        <v>2561</v>
      </c>
      <c r="I37" t="s">
        <v>1871</v>
      </c>
      <c r="M37" s="227" t="s">
        <v>1870</v>
      </c>
      <c r="N37" s="227">
        <v>23</v>
      </c>
      <c r="O37" s="227">
        <v>-0.64310765000000003</v>
      </c>
      <c r="P37" s="227">
        <v>-1.6134031</v>
      </c>
      <c r="Q37" s="227">
        <v>6.1876250000000001E-2</v>
      </c>
      <c r="R37" s="227">
        <v>0.20038434999999999</v>
      </c>
      <c r="S37" s="227">
        <v>0.96</v>
      </c>
      <c r="T37" s="227">
        <v>2561</v>
      </c>
      <c r="U37" s="227" t="s">
        <v>1871</v>
      </c>
    </row>
    <row r="38" spans="1:21" x14ac:dyDescent="0.25">
      <c r="A38" t="s">
        <v>1872</v>
      </c>
      <c r="B38">
        <v>79</v>
      </c>
      <c r="C38">
        <v>-0.70057570000000002</v>
      </c>
      <c r="D38">
        <v>-1.6094337000000001</v>
      </c>
      <c r="E38">
        <v>9.2274679999999998E-2</v>
      </c>
      <c r="F38">
        <v>0.20027515000000001</v>
      </c>
      <c r="G38">
        <v>0.96199999999999997</v>
      </c>
      <c r="H38">
        <v>4623</v>
      </c>
      <c r="I38" t="s">
        <v>1873</v>
      </c>
      <c r="M38" s="227" t="s">
        <v>1872</v>
      </c>
      <c r="N38" s="227">
        <v>79</v>
      </c>
      <c r="O38" s="227">
        <v>-0.70057570000000002</v>
      </c>
      <c r="P38" s="227">
        <v>-1.6094337000000001</v>
      </c>
      <c r="Q38" s="227">
        <v>9.2274679999999998E-2</v>
      </c>
      <c r="R38" s="227">
        <v>0.20027515000000001</v>
      </c>
      <c r="S38" s="227">
        <v>0.96199999999999997</v>
      </c>
      <c r="T38" s="227">
        <v>4623</v>
      </c>
      <c r="U38" s="227" t="s">
        <v>1873</v>
      </c>
    </row>
    <row r="39" spans="1:21" x14ac:dyDescent="0.25">
      <c r="A39" t="s">
        <v>1874</v>
      </c>
      <c r="B39">
        <v>23</v>
      </c>
      <c r="C39">
        <v>-0.62957240000000003</v>
      </c>
      <c r="D39">
        <v>-1.6060349</v>
      </c>
      <c r="E39">
        <v>5.1440329999999999E-2</v>
      </c>
      <c r="F39">
        <v>0.19961799999999999</v>
      </c>
      <c r="G39">
        <v>0.96299999999999997</v>
      </c>
      <c r="H39">
        <v>4925</v>
      </c>
      <c r="I39" t="s">
        <v>1875</v>
      </c>
      <c r="M39" s="227" t="s">
        <v>1874</v>
      </c>
      <c r="N39" s="227">
        <v>23</v>
      </c>
      <c r="O39" s="227">
        <v>-0.62957240000000003</v>
      </c>
      <c r="P39" s="227">
        <v>-1.6060349</v>
      </c>
      <c r="Q39" s="227">
        <v>5.1440329999999999E-2</v>
      </c>
      <c r="R39" s="227">
        <v>0.19961799999999999</v>
      </c>
      <c r="S39" s="227">
        <v>0.96299999999999997</v>
      </c>
      <c r="T39" s="227">
        <v>4925</v>
      </c>
      <c r="U39" s="227" t="s">
        <v>1875</v>
      </c>
    </row>
    <row r="40" spans="1:21" x14ac:dyDescent="0.25">
      <c r="A40" t="s">
        <v>1876</v>
      </c>
      <c r="B40">
        <v>36</v>
      </c>
      <c r="C40">
        <v>-0.54104054000000001</v>
      </c>
      <c r="D40">
        <v>-1.6044832</v>
      </c>
      <c r="E40">
        <v>3.8543899999999999E-2</v>
      </c>
      <c r="F40">
        <v>0.19634545</v>
      </c>
      <c r="G40">
        <v>0.96499999999999997</v>
      </c>
      <c r="H40">
        <v>3566</v>
      </c>
      <c r="I40" t="s">
        <v>1877</v>
      </c>
      <c r="M40" s="227" t="s">
        <v>1876</v>
      </c>
      <c r="N40" s="227">
        <v>36</v>
      </c>
      <c r="O40" s="227">
        <v>-0.54104054000000001</v>
      </c>
      <c r="P40" s="227">
        <v>-1.6044832</v>
      </c>
      <c r="Q40" s="227">
        <v>3.8543899999999999E-2</v>
      </c>
      <c r="R40" s="227">
        <v>0.19634545</v>
      </c>
      <c r="S40" s="227">
        <v>0.96499999999999997</v>
      </c>
      <c r="T40" s="227">
        <v>3566</v>
      </c>
      <c r="U40" s="227" t="s">
        <v>1877</v>
      </c>
    </row>
    <row r="41" spans="1:21" x14ac:dyDescent="0.25">
      <c r="A41" t="s">
        <v>1878</v>
      </c>
      <c r="B41">
        <v>54</v>
      </c>
      <c r="C41">
        <v>-0.54518029999999995</v>
      </c>
      <c r="D41">
        <v>-1.6033812999999999</v>
      </c>
      <c r="E41">
        <v>5.9063137000000002E-2</v>
      </c>
      <c r="F41">
        <v>0.19276322000000001</v>
      </c>
      <c r="G41">
        <v>0.96599999999999997</v>
      </c>
      <c r="H41">
        <v>4877</v>
      </c>
      <c r="I41" t="s">
        <v>1879</v>
      </c>
      <c r="M41" s="227" t="s">
        <v>1878</v>
      </c>
      <c r="N41" s="227">
        <v>54</v>
      </c>
      <c r="O41" s="227">
        <v>-0.54518029999999995</v>
      </c>
      <c r="P41" s="227">
        <v>-1.6033812999999999</v>
      </c>
      <c r="Q41" s="227">
        <v>5.9063137000000002E-2</v>
      </c>
      <c r="R41" s="227">
        <v>0.19276322000000001</v>
      </c>
      <c r="S41" s="227">
        <v>0.96599999999999997</v>
      </c>
      <c r="T41" s="227">
        <v>4877</v>
      </c>
      <c r="U41" s="227" t="s">
        <v>1879</v>
      </c>
    </row>
    <row r="42" spans="1:21" x14ac:dyDescent="0.25">
      <c r="A42" t="s">
        <v>1880</v>
      </c>
      <c r="B42">
        <v>34</v>
      </c>
      <c r="C42">
        <v>-0.52668649999999995</v>
      </c>
      <c r="D42">
        <v>-1.5929591999999999</v>
      </c>
      <c r="E42">
        <v>5.2742615E-2</v>
      </c>
      <c r="F42">
        <v>0.20237116999999999</v>
      </c>
      <c r="G42">
        <v>0.97499999999999998</v>
      </c>
      <c r="H42">
        <v>3566</v>
      </c>
      <c r="I42" t="s">
        <v>1881</v>
      </c>
      <c r="M42" s="227" t="s">
        <v>1880</v>
      </c>
      <c r="N42" s="227">
        <v>34</v>
      </c>
      <c r="O42" s="227">
        <v>-0.52668649999999995</v>
      </c>
      <c r="P42" s="227">
        <v>-1.5929591999999999</v>
      </c>
      <c r="Q42" s="227">
        <v>5.2742615E-2</v>
      </c>
      <c r="R42" s="227">
        <v>0.20237116999999999</v>
      </c>
      <c r="S42" s="227">
        <v>0.97499999999999998</v>
      </c>
      <c r="T42" s="227">
        <v>3566</v>
      </c>
      <c r="U42" s="227" t="s">
        <v>1881</v>
      </c>
    </row>
    <row r="43" spans="1:21" x14ac:dyDescent="0.25">
      <c r="A43" t="s">
        <v>1882</v>
      </c>
      <c r="B43">
        <v>25</v>
      </c>
      <c r="C43">
        <v>-0.62084556000000002</v>
      </c>
      <c r="D43">
        <v>-1.5929308</v>
      </c>
      <c r="E43">
        <v>6.3829789999999997E-2</v>
      </c>
      <c r="F43">
        <v>0.19746279999999999</v>
      </c>
      <c r="G43">
        <v>0.97499999999999998</v>
      </c>
      <c r="H43">
        <v>3669</v>
      </c>
      <c r="I43" t="s">
        <v>1883</v>
      </c>
      <c r="M43" s="227" t="s">
        <v>1882</v>
      </c>
      <c r="N43" s="227">
        <v>25</v>
      </c>
      <c r="O43" s="227">
        <v>-0.62084556000000002</v>
      </c>
      <c r="P43" s="227">
        <v>-1.5929308</v>
      </c>
      <c r="Q43" s="227">
        <v>6.3829789999999997E-2</v>
      </c>
      <c r="R43" s="227">
        <v>0.19746279999999999</v>
      </c>
      <c r="S43" s="227">
        <v>0.97499999999999998</v>
      </c>
      <c r="T43" s="227">
        <v>3669</v>
      </c>
      <c r="U43" s="227" t="s">
        <v>1883</v>
      </c>
    </row>
    <row r="44" spans="1:21" x14ac:dyDescent="0.25">
      <c r="A44" t="s">
        <v>1884</v>
      </c>
      <c r="B44">
        <v>59</v>
      </c>
      <c r="C44">
        <v>-0.50401085999999995</v>
      </c>
      <c r="D44">
        <v>-1.5810599000000001</v>
      </c>
      <c r="E44">
        <v>6.2761510000000006E-2</v>
      </c>
      <c r="F44">
        <v>0.20828763</v>
      </c>
      <c r="G44">
        <v>0.97599999999999998</v>
      </c>
      <c r="H44">
        <v>4213</v>
      </c>
      <c r="I44" t="s">
        <v>1885</v>
      </c>
      <c r="M44" s="227" t="s">
        <v>1884</v>
      </c>
      <c r="N44" s="227">
        <v>59</v>
      </c>
      <c r="O44" s="227">
        <v>-0.50401085999999995</v>
      </c>
      <c r="P44" s="227">
        <v>-1.5810599000000001</v>
      </c>
      <c r="Q44" s="227">
        <v>6.2761510000000006E-2</v>
      </c>
      <c r="R44" s="227">
        <v>0.20828763</v>
      </c>
      <c r="S44" s="227">
        <v>0.97599999999999998</v>
      </c>
      <c r="T44" s="227">
        <v>4213</v>
      </c>
      <c r="U44" s="227" t="s">
        <v>1885</v>
      </c>
    </row>
    <row r="45" spans="1:21" x14ac:dyDescent="0.25">
      <c r="A45" t="s">
        <v>1886</v>
      </c>
      <c r="B45">
        <v>140</v>
      </c>
      <c r="C45">
        <v>-0.41308539999999999</v>
      </c>
      <c r="D45">
        <v>-1.5770770000000001</v>
      </c>
      <c r="E45">
        <v>7.7868850000000003E-2</v>
      </c>
      <c r="F45">
        <v>0.20930603</v>
      </c>
      <c r="G45">
        <v>0.97899999999999998</v>
      </c>
      <c r="H45">
        <v>3130</v>
      </c>
      <c r="I45" t="s">
        <v>1887</v>
      </c>
      <c r="M45" s="227" t="s">
        <v>1886</v>
      </c>
      <c r="N45" s="227">
        <v>140</v>
      </c>
      <c r="O45" s="227">
        <v>-0.41308539999999999</v>
      </c>
      <c r="P45" s="227">
        <v>-1.5770770000000001</v>
      </c>
      <c r="Q45" s="227">
        <v>7.7868850000000003E-2</v>
      </c>
      <c r="R45" s="227">
        <v>0.20930603</v>
      </c>
      <c r="S45" s="227">
        <v>0.97899999999999998</v>
      </c>
      <c r="T45" s="227">
        <v>3130</v>
      </c>
      <c r="U45" s="227" t="s">
        <v>1887</v>
      </c>
    </row>
    <row r="46" spans="1:21" x14ac:dyDescent="0.25">
      <c r="A46" t="s">
        <v>1888</v>
      </c>
      <c r="B46">
        <v>41</v>
      </c>
      <c r="C46">
        <v>-0.50080690000000005</v>
      </c>
      <c r="D46">
        <v>-1.5688987999999999</v>
      </c>
      <c r="E46">
        <v>5.6795129999999999E-2</v>
      </c>
      <c r="F46">
        <v>0.21638618000000001</v>
      </c>
      <c r="G46">
        <v>0.98299999999999998</v>
      </c>
      <c r="H46">
        <v>2751</v>
      </c>
      <c r="I46" t="s">
        <v>1889</v>
      </c>
      <c r="M46" s="227" t="s">
        <v>1888</v>
      </c>
      <c r="N46" s="227">
        <v>41</v>
      </c>
      <c r="O46" s="227">
        <v>-0.50080690000000005</v>
      </c>
      <c r="P46" s="227">
        <v>-1.5688987999999999</v>
      </c>
      <c r="Q46" s="227">
        <v>5.6795129999999999E-2</v>
      </c>
      <c r="R46" s="227">
        <v>0.21638618000000001</v>
      </c>
      <c r="S46" s="227">
        <v>0.98299999999999998</v>
      </c>
      <c r="T46" s="227">
        <v>2751</v>
      </c>
      <c r="U46" s="227" t="s">
        <v>1889</v>
      </c>
    </row>
    <row r="47" spans="1:21" x14ac:dyDescent="0.25">
      <c r="A47" t="s">
        <v>1890</v>
      </c>
      <c r="B47">
        <v>23</v>
      </c>
      <c r="C47">
        <v>-0.51227825999999999</v>
      </c>
      <c r="D47">
        <v>-1.5672273999999999</v>
      </c>
      <c r="E47">
        <v>5.3995679999999997E-2</v>
      </c>
      <c r="F47">
        <v>0.21415964000000001</v>
      </c>
      <c r="G47">
        <v>0.98299999999999998</v>
      </c>
      <c r="H47">
        <v>3343</v>
      </c>
      <c r="I47" t="s">
        <v>1891</v>
      </c>
      <c r="M47" s="227" t="s">
        <v>1890</v>
      </c>
      <c r="N47" s="227">
        <v>23</v>
      </c>
      <c r="O47" s="227">
        <v>-0.51227825999999999</v>
      </c>
      <c r="P47" s="227">
        <v>-1.5672273999999999</v>
      </c>
      <c r="Q47" s="227">
        <v>5.3995679999999997E-2</v>
      </c>
      <c r="R47" s="227">
        <v>0.21415964000000001</v>
      </c>
      <c r="S47" s="227">
        <v>0.98299999999999998</v>
      </c>
      <c r="T47" s="227">
        <v>3343</v>
      </c>
      <c r="U47" s="227" t="s">
        <v>1891</v>
      </c>
    </row>
    <row r="48" spans="1:21" x14ac:dyDescent="0.25">
      <c r="A48" t="s">
        <v>1892</v>
      </c>
      <c r="B48">
        <v>23</v>
      </c>
      <c r="C48">
        <v>-0.51227825999999999</v>
      </c>
      <c r="D48">
        <v>-1.5672273999999999</v>
      </c>
      <c r="E48">
        <v>5.3995679999999997E-2</v>
      </c>
      <c r="F48">
        <v>0.20950398000000001</v>
      </c>
      <c r="G48">
        <v>0.98299999999999998</v>
      </c>
      <c r="H48">
        <v>3343</v>
      </c>
      <c r="I48" t="s">
        <v>1891</v>
      </c>
      <c r="M48" s="227" t="s">
        <v>1892</v>
      </c>
      <c r="N48" s="227">
        <v>23</v>
      </c>
      <c r="O48" s="227">
        <v>-0.51227825999999999</v>
      </c>
      <c r="P48" s="227">
        <v>-1.5672273999999999</v>
      </c>
      <c r="Q48" s="227">
        <v>5.3995679999999997E-2</v>
      </c>
      <c r="R48" s="227">
        <v>0.20950398000000001</v>
      </c>
      <c r="S48" s="227">
        <v>0.98299999999999998</v>
      </c>
      <c r="T48" s="227">
        <v>3343</v>
      </c>
      <c r="U48" s="227" t="s">
        <v>1891</v>
      </c>
    </row>
    <row r="49" spans="1:21" x14ac:dyDescent="0.25">
      <c r="A49" t="s">
        <v>1893</v>
      </c>
      <c r="B49">
        <v>33</v>
      </c>
      <c r="C49">
        <v>-0.49628252</v>
      </c>
      <c r="D49">
        <v>-1.5167021999999999</v>
      </c>
      <c r="E49">
        <v>5.8189656999999999E-2</v>
      </c>
      <c r="F49">
        <v>0.28266844000000002</v>
      </c>
      <c r="G49">
        <v>0.99199999999999999</v>
      </c>
      <c r="H49">
        <v>3551</v>
      </c>
      <c r="I49" t="s">
        <v>1894</v>
      </c>
      <c r="M49" s="227" t="s">
        <v>1893</v>
      </c>
      <c r="N49" s="227">
        <v>33</v>
      </c>
      <c r="O49" s="227">
        <v>-0.49628252</v>
      </c>
      <c r="P49" s="227">
        <v>-1.5167021999999999</v>
      </c>
      <c r="Q49" s="227">
        <v>5.8189656999999999E-2</v>
      </c>
      <c r="R49" s="227">
        <v>0.28266844000000002</v>
      </c>
      <c r="S49" s="227">
        <v>0.99199999999999999</v>
      </c>
      <c r="T49" s="227">
        <v>3551</v>
      </c>
      <c r="U49" s="227" t="s">
        <v>1894</v>
      </c>
    </row>
    <row r="50" spans="1:21" x14ac:dyDescent="0.25">
      <c r="A50" t="s">
        <v>1895</v>
      </c>
      <c r="B50">
        <v>276</v>
      </c>
      <c r="C50">
        <v>-0.42703029999999997</v>
      </c>
      <c r="D50">
        <v>-1.50092</v>
      </c>
      <c r="E50">
        <v>0.112033196</v>
      </c>
      <c r="F50">
        <v>0.3055947</v>
      </c>
      <c r="G50">
        <v>0.997</v>
      </c>
      <c r="H50">
        <v>3681</v>
      </c>
      <c r="I50" t="s">
        <v>1896</v>
      </c>
      <c r="M50" s="227" t="s">
        <v>1895</v>
      </c>
      <c r="N50" s="227">
        <v>276</v>
      </c>
      <c r="O50" s="227">
        <v>-0.42703029999999997</v>
      </c>
      <c r="P50" s="227">
        <v>-1.50092</v>
      </c>
      <c r="Q50" s="227">
        <v>0.112033196</v>
      </c>
      <c r="R50" s="227">
        <v>0.3055947</v>
      </c>
      <c r="S50" s="227">
        <v>0.997</v>
      </c>
      <c r="T50" s="227">
        <v>3681</v>
      </c>
      <c r="U50" s="227" t="s">
        <v>1896</v>
      </c>
    </row>
    <row r="51" spans="1:21" x14ac:dyDescent="0.25">
      <c r="A51" t="s">
        <v>1897</v>
      </c>
      <c r="B51">
        <v>65</v>
      </c>
      <c r="C51">
        <v>-0.45180670000000001</v>
      </c>
      <c r="D51">
        <v>-1.4990443</v>
      </c>
      <c r="E51">
        <v>7.1428574999999994E-2</v>
      </c>
      <c r="F51">
        <v>0.30292790000000003</v>
      </c>
      <c r="G51">
        <v>0.997</v>
      </c>
      <c r="H51">
        <v>4179</v>
      </c>
      <c r="I51" t="s">
        <v>1898</v>
      </c>
      <c r="M51" s="227" t="s">
        <v>1897</v>
      </c>
      <c r="N51" s="227">
        <v>65</v>
      </c>
      <c r="O51" s="227">
        <v>-0.45180670000000001</v>
      </c>
      <c r="P51" s="227">
        <v>-1.4990443</v>
      </c>
      <c r="Q51" s="227">
        <v>7.1428574999999994E-2</v>
      </c>
      <c r="R51" s="227">
        <v>0.30292790000000003</v>
      </c>
      <c r="S51" s="227">
        <v>0.997</v>
      </c>
      <c r="T51" s="227">
        <v>4179</v>
      </c>
      <c r="U51" s="227" t="s">
        <v>1898</v>
      </c>
    </row>
    <row r="52" spans="1:21" x14ac:dyDescent="0.25">
      <c r="A52" t="s">
        <v>1899</v>
      </c>
      <c r="B52">
        <v>173</v>
      </c>
      <c r="C52">
        <v>-0.44593936000000001</v>
      </c>
      <c r="D52">
        <v>-1.4988741999999999</v>
      </c>
      <c r="E52">
        <v>9.8924730000000002E-2</v>
      </c>
      <c r="F52">
        <v>0.29707354000000002</v>
      </c>
      <c r="G52">
        <v>0.997</v>
      </c>
      <c r="H52">
        <v>3669</v>
      </c>
      <c r="I52" t="s">
        <v>1900</v>
      </c>
      <c r="M52" s="227" t="s">
        <v>1899</v>
      </c>
      <c r="N52" s="227">
        <v>173</v>
      </c>
      <c r="O52" s="227">
        <v>-0.44593936000000001</v>
      </c>
      <c r="P52" s="227">
        <v>-1.4988741999999999</v>
      </c>
      <c r="Q52" s="227">
        <v>9.8924730000000002E-2</v>
      </c>
      <c r="R52" s="227">
        <v>0.29707354000000002</v>
      </c>
      <c r="S52" s="227">
        <v>0.997</v>
      </c>
      <c r="T52" s="227">
        <v>3669</v>
      </c>
      <c r="U52" s="227" t="s">
        <v>1900</v>
      </c>
    </row>
    <row r="53" spans="1:21" x14ac:dyDescent="0.25">
      <c r="A53" t="s">
        <v>1901</v>
      </c>
      <c r="B53">
        <v>19</v>
      </c>
      <c r="C53">
        <v>-0.55866855000000004</v>
      </c>
      <c r="D53">
        <v>-1.4873991</v>
      </c>
      <c r="E53">
        <v>9.5744683999999997E-2</v>
      </c>
      <c r="F53">
        <v>0.31179004999999999</v>
      </c>
      <c r="G53">
        <v>0.999</v>
      </c>
      <c r="H53">
        <v>2410</v>
      </c>
      <c r="I53" t="s">
        <v>1902</v>
      </c>
      <c r="M53" s="227" t="s">
        <v>1901</v>
      </c>
      <c r="N53" s="227">
        <v>19</v>
      </c>
      <c r="O53" s="227">
        <v>-0.55866855000000004</v>
      </c>
      <c r="P53" s="227">
        <v>-1.4873991</v>
      </c>
      <c r="Q53" s="227">
        <v>9.5744683999999997E-2</v>
      </c>
      <c r="R53" s="227">
        <v>0.31179004999999999</v>
      </c>
      <c r="S53" s="227">
        <v>0.999</v>
      </c>
      <c r="T53" s="227">
        <v>2410</v>
      </c>
      <c r="U53" s="227" t="s">
        <v>1902</v>
      </c>
    </row>
    <row r="54" spans="1:21" x14ac:dyDescent="0.25">
      <c r="A54" t="s">
        <v>1903</v>
      </c>
      <c r="B54">
        <v>17</v>
      </c>
      <c r="C54">
        <v>-0.59091329999999997</v>
      </c>
      <c r="D54">
        <v>-1.4861599000000001</v>
      </c>
      <c r="E54">
        <v>9.5032394000000006E-2</v>
      </c>
      <c r="F54">
        <v>0.30781436000000001</v>
      </c>
      <c r="G54">
        <v>0.999</v>
      </c>
      <c r="H54">
        <v>3522</v>
      </c>
      <c r="I54" t="s">
        <v>1904</v>
      </c>
      <c r="M54" s="227" t="s">
        <v>1903</v>
      </c>
      <c r="N54" s="227">
        <v>17</v>
      </c>
      <c r="O54" s="227">
        <v>-0.59091329999999997</v>
      </c>
      <c r="P54" s="227">
        <v>-1.4861599000000001</v>
      </c>
      <c r="Q54" s="227">
        <v>9.5032394000000006E-2</v>
      </c>
      <c r="R54" s="227">
        <v>0.30781436000000001</v>
      </c>
      <c r="S54" s="227">
        <v>0.999</v>
      </c>
      <c r="T54" s="227">
        <v>3522</v>
      </c>
      <c r="U54" s="227" t="s">
        <v>1904</v>
      </c>
    </row>
    <row r="55" spans="1:21" x14ac:dyDescent="0.25">
      <c r="A55" t="s">
        <v>1905</v>
      </c>
      <c r="B55">
        <v>28</v>
      </c>
      <c r="C55">
        <v>-0.50305873000000001</v>
      </c>
      <c r="D55">
        <v>-1.4814476999999999</v>
      </c>
      <c r="E55">
        <v>6.8131869999999997E-2</v>
      </c>
      <c r="F55">
        <v>0.31074416999999999</v>
      </c>
      <c r="G55">
        <v>0.999</v>
      </c>
      <c r="H55">
        <v>4179</v>
      </c>
      <c r="I55" t="s">
        <v>1906</v>
      </c>
      <c r="M55" s="227" t="s">
        <v>1905</v>
      </c>
      <c r="N55" s="227">
        <v>28</v>
      </c>
      <c r="O55" s="227">
        <v>-0.50305873000000001</v>
      </c>
      <c r="P55" s="227">
        <v>-1.4814476999999999</v>
      </c>
      <c r="Q55" s="227">
        <v>6.8131869999999997E-2</v>
      </c>
      <c r="R55" s="227">
        <v>0.31074416999999999</v>
      </c>
      <c r="S55" s="227">
        <v>0.999</v>
      </c>
      <c r="T55" s="227">
        <v>4179</v>
      </c>
      <c r="U55" s="227" t="s">
        <v>1906</v>
      </c>
    </row>
    <row r="56" spans="1:21" x14ac:dyDescent="0.25">
      <c r="A56" t="s">
        <v>1907</v>
      </c>
      <c r="B56">
        <v>119</v>
      </c>
      <c r="C56">
        <v>-0.41902423</v>
      </c>
      <c r="D56">
        <v>-1.4737788000000001</v>
      </c>
      <c r="E56">
        <v>8.7682670000000004E-2</v>
      </c>
      <c r="F56">
        <v>0.31948733000000001</v>
      </c>
      <c r="G56">
        <v>0.999</v>
      </c>
      <c r="H56">
        <v>3572</v>
      </c>
      <c r="I56" t="s">
        <v>1908</v>
      </c>
      <c r="M56" s="227" t="s">
        <v>1907</v>
      </c>
      <c r="N56" s="227">
        <v>119</v>
      </c>
      <c r="O56" s="227">
        <v>-0.41902423</v>
      </c>
      <c r="P56" s="227">
        <v>-1.4737788000000001</v>
      </c>
      <c r="Q56" s="227">
        <v>8.7682670000000004E-2</v>
      </c>
      <c r="R56" s="227">
        <v>0.31948733000000001</v>
      </c>
      <c r="S56" s="227">
        <v>0.999</v>
      </c>
      <c r="T56" s="227">
        <v>3572</v>
      </c>
      <c r="U56" s="227" t="s">
        <v>1908</v>
      </c>
    </row>
    <row r="57" spans="1:21" x14ac:dyDescent="0.25">
      <c r="A57" t="s">
        <v>1909</v>
      </c>
      <c r="B57">
        <v>30</v>
      </c>
      <c r="C57">
        <v>-0.52953589999999995</v>
      </c>
      <c r="D57">
        <v>-1.4733951000000001</v>
      </c>
      <c r="E57">
        <v>8.1589960000000003E-2</v>
      </c>
      <c r="F57">
        <v>0.31434643000000001</v>
      </c>
      <c r="G57">
        <v>0.999</v>
      </c>
      <c r="H57">
        <v>4406</v>
      </c>
      <c r="I57" t="s">
        <v>1910</v>
      </c>
      <c r="M57" s="227" t="s">
        <v>1909</v>
      </c>
      <c r="N57" s="227">
        <v>30</v>
      </c>
      <c r="O57" s="227">
        <v>-0.52953589999999995</v>
      </c>
      <c r="P57" s="227">
        <v>-1.4733951000000001</v>
      </c>
      <c r="Q57" s="227">
        <v>8.1589960000000003E-2</v>
      </c>
      <c r="R57" s="227">
        <v>0.31434643000000001</v>
      </c>
      <c r="S57" s="227">
        <v>0.999</v>
      </c>
      <c r="T57" s="227">
        <v>4406</v>
      </c>
      <c r="U57" s="227" t="s">
        <v>1910</v>
      </c>
    </row>
    <row r="58" spans="1:21" x14ac:dyDescent="0.25">
      <c r="A58" t="s">
        <v>1911</v>
      </c>
      <c r="B58">
        <v>21</v>
      </c>
      <c r="C58">
        <v>-0.56446249999999998</v>
      </c>
      <c r="D58">
        <v>-1.4733803000000001</v>
      </c>
      <c r="E58">
        <v>0.12396694</v>
      </c>
      <c r="F58">
        <v>0.30874327000000001</v>
      </c>
      <c r="G58">
        <v>0.999</v>
      </c>
      <c r="H58">
        <v>4422</v>
      </c>
      <c r="I58" t="s">
        <v>1912</v>
      </c>
      <c r="M58" s="227" t="s">
        <v>1911</v>
      </c>
      <c r="N58" s="227">
        <v>21</v>
      </c>
      <c r="O58" s="227">
        <v>-0.56446249999999998</v>
      </c>
      <c r="P58" s="227">
        <v>-1.4733803000000001</v>
      </c>
      <c r="Q58" s="227">
        <v>0.12396694</v>
      </c>
      <c r="R58" s="227">
        <v>0.30874327000000001</v>
      </c>
      <c r="S58" s="227">
        <v>0.999</v>
      </c>
      <c r="T58" s="227">
        <v>4422</v>
      </c>
      <c r="U58" s="227" t="s">
        <v>1912</v>
      </c>
    </row>
    <row r="59" spans="1:21" x14ac:dyDescent="0.25">
      <c r="A59" t="s">
        <v>1913</v>
      </c>
      <c r="B59">
        <v>18</v>
      </c>
      <c r="C59">
        <v>-0.53768059999999995</v>
      </c>
      <c r="D59">
        <v>-1.4705508</v>
      </c>
      <c r="E59">
        <v>0.10759494</v>
      </c>
      <c r="F59">
        <v>0.30806440000000002</v>
      </c>
      <c r="G59">
        <v>0.999</v>
      </c>
      <c r="H59">
        <v>4510</v>
      </c>
      <c r="I59" t="s">
        <v>1914</v>
      </c>
      <c r="M59" s="227" t="s">
        <v>1913</v>
      </c>
      <c r="N59" s="227">
        <v>18</v>
      </c>
      <c r="O59" s="227">
        <v>-0.53768059999999995</v>
      </c>
      <c r="P59" s="227">
        <v>-1.4705508</v>
      </c>
      <c r="Q59" s="227">
        <v>0.10759494</v>
      </c>
      <c r="R59" s="227">
        <v>0.30806440000000002</v>
      </c>
      <c r="S59" s="227">
        <v>0.999</v>
      </c>
      <c r="T59" s="227">
        <v>4510</v>
      </c>
      <c r="U59" s="227" t="s">
        <v>1914</v>
      </c>
    </row>
    <row r="60" spans="1:21" x14ac:dyDescent="0.25">
      <c r="A60" t="s">
        <v>1915</v>
      </c>
      <c r="B60">
        <v>171</v>
      </c>
      <c r="C60">
        <v>-0.43420525999999998</v>
      </c>
      <c r="D60">
        <v>-1.4693049</v>
      </c>
      <c r="E60">
        <v>0.113247864</v>
      </c>
      <c r="F60">
        <v>0.30489286999999998</v>
      </c>
      <c r="G60">
        <v>0.999</v>
      </c>
      <c r="H60">
        <v>3669</v>
      </c>
      <c r="I60" t="s">
        <v>1916</v>
      </c>
      <c r="M60" s="227" t="s">
        <v>1915</v>
      </c>
      <c r="N60" s="227">
        <v>171</v>
      </c>
      <c r="O60" s="227">
        <v>-0.43420525999999998</v>
      </c>
      <c r="P60" s="227">
        <v>-1.4693049</v>
      </c>
      <c r="Q60" s="227">
        <v>0.113247864</v>
      </c>
      <c r="R60" s="227">
        <v>0.30489286999999998</v>
      </c>
      <c r="S60" s="227">
        <v>0.999</v>
      </c>
      <c r="T60" s="227">
        <v>3669</v>
      </c>
      <c r="U60" s="227" t="s">
        <v>1916</v>
      </c>
    </row>
    <row r="61" spans="1:21" x14ac:dyDescent="0.25">
      <c r="A61" t="s">
        <v>1917</v>
      </c>
      <c r="B61">
        <v>93</v>
      </c>
      <c r="C61">
        <v>-0.38169326999999997</v>
      </c>
      <c r="D61">
        <v>-1.4666646999999999</v>
      </c>
      <c r="E61">
        <v>7.7393080000000003E-2</v>
      </c>
      <c r="F61">
        <v>0.30463847999999999</v>
      </c>
      <c r="G61">
        <v>0.999</v>
      </c>
      <c r="H61">
        <v>2797</v>
      </c>
      <c r="I61" t="s">
        <v>1918</v>
      </c>
      <c r="M61" s="227" t="s">
        <v>1917</v>
      </c>
      <c r="N61" s="227">
        <v>93</v>
      </c>
      <c r="O61" s="227">
        <v>-0.38169326999999997</v>
      </c>
      <c r="P61" s="227">
        <v>-1.4666646999999999</v>
      </c>
      <c r="Q61" s="227">
        <v>7.7393080000000003E-2</v>
      </c>
      <c r="R61" s="227">
        <v>0.30463847999999999</v>
      </c>
      <c r="S61" s="227">
        <v>0.999</v>
      </c>
      <c r="T61" s="227">
        <v>2797</v>
      </c>
      <c r="U61" s="227" t="s">
        <v>1918</v>
      </c>
    </row>
    <row r="62" spans="1:21" x14ac:dyDescent="0.25">
      <c r="A62" t="s">
        <v>1919</v>
      </c>
      <c r="B62">
        <v>15</v>
      </c>
      <c r="C62">
        <v>-0.51395093999999997</v>
      </c>
      <c r="D62">
        <v>-1.4665225</v>
      </c>
      <c r="E62">
        <v>7.2805140000000004E-2</v>
      </c>
      <c r="F62">
        <v>0.29983031999999998</v>
      </c>
      <c r="G62">
        <v>0.999</v>
      </c>
      <c r="H62">
        <v>1631</v>
      </c>
      <c r="I62" t="s">
        <v>1920</v>
      </c>
      <c r="M62" s="227" t="s">
        <v>1919</v>
      </c>
      <c r="N62" s="227">
        <v>15</v>
      </c>
      <c r="O62" s="227">
        <v>-0.51395093999999997</v>
      </c>
      <c r="P62" s="227">
        <v>-1.4665225</v>
      </c>
      <c r="Q62" s="227">
        <v>7.2805140000000004E-2</v>
      </c>
      <c r="R62" s="227">
        <v>0.29983031999999998</v>
      </c>
      <c r="S62" s="227">
        <v>0.999</v>
      </c>
      <c r="T62" s="227">
        <v>1631</v>
      </c>
      <c r="U62" s="227" t="s">
        <v>1920</v>
      </c>
    </row>
    <row r="63" spans="1:21" x14ac:dyDescent="0.25">
      <c r="A63" t="s">
        <v>1921</v>
      </c>
      <c r="B63">
        <v>97</v>
      </c>
      <c r="C63">
        <v>-0.4323591</v>
      </c>
      <c r="D63">
        <v>-1.4613395</v>
      </c>
      <c r="E63">
        <v>0.11297071</v>
      </c>
      <c r="F63">
        <v>0.3040389</v>
      </c>
      <c r="G63">
        <v>1</v>
      </c>
      <c r="H63">
        <v>3669</v>
      </c>
      <c r="I63" t="s">
        <v>1922</v>
      </c>
      <c r="M63" s="227" t="s">
        <v>1921</v>
      </c>
      <c r="N63" s="227">
        <v>97</v>
      </c>
      <c r="O63" s="227">
        <v>-0.4323591</v>
      </c>
      <c r="P63" s="227">
        <v>-1.4613395</v>
      </c>
      <c r="Q63" s="227">
        <v>0.11297071</v>
      </c>
      <c r="R63" s="227">
        <v>0.3040389</v>
      </c>
      <c r="S63" s="227">
        <v>1</v>
      </c>
      <c r="T63" s="227">
        <v>3669</v>
      </c>
      <c r="U63" s="227" t="s">
        <v>1922</v>
      </c>
    </row>
    <row r="64" spans="1:21" x14ac:dyDescent="0.25">
      <c r="A64" t="s">
        <v>1923</v>
      </c>
      <c r="B64">
        <v>76</v>
      </c>
      <c r="C64">
        <v>-0.44770575000000001</v>
      </c>
      <c r="D64">
        <v>-1.4595469999999999</v>
      </c>
      <c r="E64">
        <v>0.11458333599999999</v>
      </c>
      <c r="F64">
        <v>0.30208698</v>
      </c>
      <c r="G64">
        <v>1</v>
      </c>
      <c r="H64">
        <v>3669</v>
      </c>
      <c r="I64" t="s">
        <v>1924</v>
      </c>
      <c r="M64" s="227" t="s">
        <v>1923</v>
      </c>
      <c r="N64" s="227">
        <v>76</v>
      </c>
      <c r="O64" s="227">
        <v>-0.44770575000000001</v>
      </c>
      <c r="P64" s="227">
        <v>-1.4595469999999999</v>
      </c>
      <c r="Q64" s="227">
        <v>0.11458333599999999</v>
      </c>
      <c r="R64" s="227">
        <v>0.30208698</v>
      </c>
      <c r="S64" s="227">
        <v>1</v>
      </c>
      <c r="T64" s="227">
        <v>3669</v>
      </c>
      <c r="U64" s="227" t="s">
        <v>1924</v>
      </c>
    </row>
    <row r="65" spans="1:21" x14ac:dyDescent="0.25">
      <c r="A65" t="s">
        <v>1925</v>
      </c>
      <c r="B65">
        <v>21</v>
      </c>
      <c r="C65">
        <v>-0.49407879999999998</v>
      </c>
      <c r="D65">
        <v>-1.4577165999999999</v>
      </c>
      <c r="E65">
        <v>6.6954639999999996E-2</v>
      </c>
      <c r="F65">
        <v>0.30054196999999999</v>
      </c>
      <c r="G65">
        <v>1</v>
      </c>
      <c r="H65">
        <v>3752</v>
      </c>
      <c r="I65" t="s">
        <v>1926</v>
      </c>
      <c r="M65" s="227" t="s">
        <v>1925</v>
      </c>
      <c r="N65" s="227">
        <v>21</v>
      </c>
      <c r="O65" s="227">
        <v>-0.49407879999999998</v>
      </c>
      <c r="P65" s="227">
        <v>-1.4577165999999999</v>
      </c>
      <c r="Q65" s="227">
        <v>6.6954639999999996E-2</v>
      </c>
      <c r="R65" s="227">
        <v>0.30054196999999999</v>
      </c>
      <c r="S65" s="227">
        <v>1</v>
      </c>
      <c r="T65" s="227">
        <v>3752</v>
      </c>
      <c r="U65" s="227" t="s">
        <v>1926</v>
      </c>
    </row>
    <row r="66" spans="1:21" x14ac:dyDescent="0.25">
      <c r="A66" t="s">
        <v>1927</v>
      </c>
      <c r="B66">
        <v>82</v>
      </c>
      <c r="C66">
        <v>-0.38217237999999998</v>
      </c>
      <c r="D66">
        <v>-1.456097</v>
      </c>
      <c r="E66">
        <v>8.1135910000000006E-2</v>
      </c>
      <c r="F66">
        <v>0.29850926999999999</v>
      </c>
      <c r="G66">
        <v>1</v>
      </c>
      <c r="H66">
        <v>2797</v>
      </c>
      <c r="I66" t="s">
        <v>1918</v>
      </c>
      <c r="M66" s="227" t="s">
        <v>1927</v>
      </c>
      <c r="N66" s="227">
        <v>82</v>
      </c>
      <c r="O66" s="227">
        <v>-0.38217237999999998</v>
      </c>
      <c r="P66" s="227">
        <v>-1.456097</v>
      </c>
      <c r="Q66" s="227">
        <v>8.1135910000000006E-2</v>
      </c>
      <c r="R66" s="227">
        <v>0.29850926999999999</v>
      </c>
      <c r="S66" s="227">
        <v>1</v>
      </c>
      <c r="T66" s="227">
        <v>2797</v>
      </c>
      <c r="U66" s="227" t="s">
        <v>1918</v>
      </c>
    </row>
    <row r="67" spans="1:21" x14ac:dyDescent="0.25">
      <c r="A67" t="s">
        <v>1928</v>
      </c>
      <c r="B67">
        <v>25</v>
      </c>
      <c r="C67">
        <v>-0.51951075000000002</v>
      </c>
      <c r="D67">
        <v>-1.4487833999999999</v>
      </c>
      <c r="E67">
        <v>0.10266939999999999</v>
      </c>
      <c r="F67">
        <v>0.30647695000000003</v>
      </c>
      <c r="G67">
        <v>1</v>
      </c>
      <c r="H67">
        <v>2248</v>
      </c>
      <c r="I67" t="s">
        <v>1929</v>
      </c>
      <c r="M67" s="227" t="s">
        <v>1928</v>
      </c>
      <c r="N67" s="227">
        <v>25</v>
      </c>
      <c r="O67" s="227">
        <v>-0.51951075000000002</v>
      </c>
      <c r="P67" s="227">
        <v>-1.4487833999999999</v>
      </c>
      <c r="Q67" s="227">
        <v>0.10266939999999999</v>
      </c>
      <c r="R67" s="227">
        <v>0.30647695000000003</v>
      </c>
      <c r="S67" s="227">
        <v>1</v>
      </c>
      <c r="T67" s="227">
        <v>2248</v>
      </c>
      <c r="U67" s="227" t="s">
        <v>1929</v>
      </c>
    </row>
    <row r="68" spans="1:21" x14ac:dyDescent="0.25">
      <c r="A68" t="s">
        <v>1930</v>
      </c>
      <c r="B68">
        <v>38</v>
      </c>
      <c r="C68">
        <v>-0.53418679999999996</v>
      </c>
      <c r="D68">
        <v>-1.4455979999999999</v>
      </c>
      <c r="E68">
        <v>0.11270492</v>
      </c>
      <c r="F68">
        <v>0.30699182000000003</v>
      </c>
      <c r="G68">
        <v>1</v>
      </c>
      <c r="H68">
        <v>4636</v>
      </c>
      <c r="I68" t="s">
        <v>1931</v>
      </c>
      <c r="M68" s="227" t="s">
        <v>1930</v>
      </c>
      <c r="N68" s="227">
        <v>38</v>
      </c>
      <c r="O68" s="227">
        <v>-0.53418679999999996</v>
      </c>
      <c r="P68" s="227">
        <v>-1.4455979999999999</v>
      </c>
      <c r="Q68" s="227">
        <v>0.11270492</v>
      </c>
      <c r="R68" s="227">
        <v>0.30699182000000003</v>
      </c>
      <c r="S68" s="227">
        <v>1</v>
      </c>
      <c r="T68" s="227">
        <v>4636</v>
      </c>
      <c r="U68" s="227" t="s">
        <v>1931</v>
      </c>
    </row>
    <row r="69" spans="1:21" x14ac:dyDescent="0.25">
      <c r="A69" t="s">
        <v>1932</v>
      </c>
      <c r="B69">
        <v>208</v>
      </c>
      <c r="C69">
        <v>-0.34513375000000002</v>
      </c>
      <c r="D69">
        <v>-1.4436057</v>
      </c>
      <c r="E69">
        <v>9.1858040000000002E-2</v>
      </c>
      <c r="F69">
        <v>0.30560442999999998</v>
      </c>
      <c r="G69">
        <v>1</v>
      </c>
      <c r="H69">
        <v>3681</v>
      </c>
      <c r="I69" t="s">
        <v>1933</v>
      </c>
      <c r="M69" s="227" t="s">
        <v>1932</v>
      </c>
      <c r="N69" s="227">
        <v>208</v>
      </c>
      <c r="O69" s="227">
        <v>-0.34513375000000002</v>
      </c>
      <c r="P69" s="227">
        <v>-1.4436057</v>
      </c>
      <c r="Q69" s="227">
        <v>9.1858040000000002E-2</v>
      </c>
      <c r="R69" s="227">
        <v>0.30560442999999998</v>
      </c>
      <c r="S69" s="227">
        <v>1</v>
      </c>
      <c r="T69" s="227">
        <v>3681</v>
      </c>
      <c r="U69" s="227" t="s">
        <v>1933</v>
      </c>
    </row>
    <row r="70" spans="1:21" x14ac:dyDescent="0.25">
      <c r="A70" t="s">
        <v>1934</v>
      </c>
      <c r="B70">
        <v>18</v>
      </c>
      <c r="C70">
        <v>-0.54918630000000002</v>
      </c>
      <c r="D70">
        <v>-1.4361577999999999</v>
      </c>
      <c r="E70">
        <v>9.4922740000000005E-2</v>
      </c>
      <c r="F70">
        <v>0.3138608</v>
      </c>
      <c r="G70">
        <v>1</v>
      </c>
      <c r="H70">
        <v>2882</v>
      </c>
      <c r="I70" t="s">
        <v>1935</v>
      </c>
      <c r="M70" s="227" t="s">
        <v>1934</v>
      </c>
      <c r="N70" s="227">
        <v>18</v>
      </c>
      <c r="O70" s="227">
        <v>-0.54918630000000002</v>
      </c>
      <c r="P70" s="227">
        <v>-1.4361577999999999</v>
      </c>
      <c r="Q70" s="227">
        <v>9.4922740000000005E-2</v>
      </c>
      <c r="R70" s="227">
        <v>0.3138608</v>
      </c>
      <c r="S70" s="227">
        <v>1</v>
      </c>
      <c r="T70" s="227">
        <v>2882</v>
      </c>
      <c r="U70" s="227" t="s">
        <v>1935</v>
      </c>
    </row>
    <row r="71" spans="1:21" x14ac:dyDescent="0.25">
      <c r="A71" t="s">
        <v>1936</v>
      </c>
      <c r="B71">
        <v>58</v>
      </c>
      <c r="C71">
        <v>-0.44550519999999999</v>
      </c>
      <c r="D71">
        <v>-1.4243072999999999</v>
      </c>
      <c r="E71">
        <v>0.11627907</v>
      </c>
      <c r="F71">
        <v>0.33010342999999998</v>
      </c>
      <c r="G71">
        <v>1</v>
      </c>
      <c r="H71">
        <v>3563</v>
      </c>
      <c r="I71" t="s">
        <v>1908</v>
      </c>
      <c r="M71" s="227" t="s">
        <v>1936</v>
      </c>
      <c r="N71" s="227">
        <v>58</v>
      </c>
      <c r="O71" s="227">
        <v>-0.44550519999999999</v>
      </c>
      <c r="P71" s="227">
        <v>-1.4243072999999999</v>
      </c>
      <c r="Q71" s="227">
        <v>0.11627907</v>
      </c>
      <c r="R71" s="227">
        <v>0.33010342999999998</v>
      </c>
      <c r="S71" s="227">
        <v>1</v>
      </c>
      <c r="T71" s="227">
        <v>3563</v>
      </c>
      <c r="U71" s="227" t="s">
        <v>1908</v>
      </c>
    </row>
    <row r="72" spans="1:21" x14ac:dyDescent="0.25">
      <c r="A72" t="s">
        <v>1937</v>
      </c>
      <c r="B72">
        <v>302</v>
      </c>
      <c r="C72">
        <v>-0.34019083</v>
      </c>
      <c r="D72">
        <v>-1.4096105000000001</v>
      </c>
      <c r="E72">
        <v>9.2872570000000002E-2</v>
      </c>
      <c r="F72">
        <v>0.35219175000000003</v>
      </c>
      <c r="G72">
        <v>1</v>
      </c>
      <c r="H72">
        <v>4317</v>
      </c>
      <c r="I72" t="s">
        <v>1938</v>
      </c>
      <c r="M72" s="227" t="s">
        <v>1937</v>
      </c>
      <c r="N72" s="227">
        <v>302</v>
      </c>
      <c r="O72" s="227">
        <v>-0.34019083</v>
      </c>
      <c r="P72" s="227">
        <v>-1.4096105000000001</v>
      </c>
      <c r="Q72" s="227">
        <v>9.2872570000000002E-2</v>
      </c>
      <c r="R72" s="227">
        <v>0.35219175000000003</v>
      </c>
      <c r="S72" s="227">
        <v>1</v>
      </c>
      <c r="T72" s="227">
        <v>4317</v>
      </c>
      <c r="U72" s="227" t="s">
        <v>1938</v>
      </c>
    </row>
    <row r="73" spans="1:21" x14ac:dyDescent="0.25">
      <c r="A73" t="s">
        <v>1939</v>
      </c>
      <c r="B73">
        <v>63</v>
      </c>
      <c r="C73">
        <v>-0.42762074</v>
      </c>
      <c r="D73">
        <v>-1.3962406999999999</v>
      </c>
      <c r="E73">
        <v>0.12552302000000001</v>
      </c>
      <c r="F73">
        <v>0.37236395</v>
      </c>
      <c r="G73">
        <v>1</v>
      </c>
      <c r="H73">
        <v>4117</v>
      </c>
      <c r="I73" t="s">
        <v>1940</v>
      </c>
      <c r="M73" s="227" t="s">
        <v>1939</v>
      </c>
      <c r="N73" s="227">
        <v>63</v>
      </c>
      <c r="O73" s="227">
        <v>-0.42762074</v>
      </c>
      <c r="P73" s="227">
        <v>-1.3962406999999999</v>
      </c>
      <c r="Q73" s="227">
        <v>0.12552302000000001</v>
      </c>
      <c r="R73" s="227">
        <v>0.37236395</v>
      </c>
      <c r="S73" s="227">
        <v>1</v>
      </c>
      <c r="T73" s="227">
        <v>4117</v>
      </c>
      <c r="U73" s="227" t="s">
        <v>1940</v>
      </c>
    </row>
    <row r="74" spans="1:21" x14ac:dyDescent="0.25">
      <c r="A74" t="s">
        <v>1941</v>
      </c>
      <c r="B74">
        <v>219</v>
      </c>
      <c r="C74">
        <v>-0.33571440000000002</v>
      </c>
      <c r="D74">
        <v>-1.39293</v>
      </c>
      <c r="E74">
        <v>0.102345414</v>
      </c>
      <c r="F74">
        <v>0.37363687000000001</v>
      </c>
      <c r="G74">
        <v>1</v>
      </c>
      <c r="H74">
        <v>3681</v>
      </c>
      <c r="I74" t="s">
        <v>1942</v>
      </c>
      <c r="M74" s="227" t="s">
        <v>1941</v>
      </c>
      <c r="N74" s="227">
        <v>219</v>
      </c>
      <c r="O74" s="227">
        <v>-0.33571440000000002</v>
      </c>
      <c r="P74" s="227">
        <v>-1.39293</v>
      </c>
      <c r="Q74" s="227">
        <v>0.102345414</v>
      </c>
      <c r="R74" s="227">
        <v>0.37363687000000001</v>
      </c>
      <c r="S74" s="227">
        <v>1</v>
      </c>
      <c r="T74" s="227">
        <v>3681</v>
      </c>
      <c r="U74" s="227" t="s">
        <v>1942</v>
      </c>
    </row>
    <row r="75" spans="1:21" x14ac:dyDescent="0.25">
      <c r="A75" t="s">
        <v>1943</v>
      </c>
      <c r="B75">
        <v>24</v>
      </c>
      <c r="C75">
        <v>-0.48920596</v>
      </c>
      <c r="D75">
        <v>-1.3883414000000001</v>
      </c>
      <c r="E75">
        <v>0.114718616</v>
      </c>
      <c r="F75">
        <v>0.37688482000000001</v>
      </c>
      <c r="G75">
        <v>1</v>
      </c>
      <c r="H75">
        <v>4179</v>
      </c>
      <c r="I75" t="s">
        <v>1944</v>
      </c>
      <c r="M75" s="227" t="s">
        <v>1943</v>
      </c>
      <c r="N75" s="227">
        <v>24</v>
      </c>
      <c r="O75" s="227">
        <v>-0.48920596</v>
      </c>
      <c r="P75" s="227">
        <v>-1.3883414000000001</v>
      </c>
      <c r="Q75" s="227">
        <v>0.114718616</v>
      </c>
      <c r="R75" s="227">
        <v>0.37688482000000001</v>
      </c>
      <c r="S75" s="227">
        <v>1</v>
      </c>
      <c r="T75" s="227">
        <v>4179</v>
      </c>
      <c r="U75" s="227" t="s">
        <v>1944</v>
      </c>
    </row>
    <row r="76" spans="1:21" x14ac:dyDescent="0.25">
      <c r="A76" t="s">
        <v>1945</v>
      </c>
      <c r="B76">
        <v>83</v>
      </c>
      <c r="C76">
        <v>-0.41602689999999998</v>
      </c>
      <c r="D76">
        <v>-1.3854715</v>
      </c>
      <c r="E76">
        <v>0.16492693</v>
      </c>
      <c r="F76">
        <v>0.37729796999999998</v>
      </c>
      <c r="G76">
        <v>1</v>
      </c>
      <c r="H76">
        <v>3566</v>
      </c>
      <c r="I76" t="s">
        <v>1946</v>
      </c>
      <c r="M76" s="227" t="s">
        <v>1945</v>
      </c>
      <c r="N76" s="227">
        <v>83</v>
      </c>
      <c r="O76" s="227">
        <v>-0.41602689999999998</v>
      </c>
      <c r="P76" s="227">
        <v>-1.3854715</v>
      </c>
      <c r="Q76" s="227">
        <v>0.16492693</v>
      </c>
      <c r="R76" s="227">
        <v>0.37729796999999998</v>
      </c>
      <c r="S76" s="227">
        <v>1</v>
      </c>
      <c r="T76" s="227">
        <v>3566</v>
      </c>
      <c r="U76" s="227" t="s">
        <v>1946</v>
      </c>
    </row>
    <row r="77" spans="1:21" x14ac:dyDescent="0.25">
      <c r="A77" t="s">
        <v>1947</v>
      </c>
      <c r="B77">
        <v>90</v>
      </c>
      <c r="C77">
        <v>-0.35525646999999999</v>
      </c>
      <c r="D77">
        <v>-1.3624277</v>
      </c>
      <c r="E77">
        <v>0.13087934000000001</v>
      </c>
      <c r="F77">
        <v>0.41728609999999999</v>
      </c>
      <c r="G77">
        <v>1</v>
      </c>
      <c r="H77">
        <v>3522</v>
      </c>
      <c r="I77" t="s">
        <v>1948</v>
      </c>
      <c r="M77" s="227" t="s">
        <v>1947</v>
      </c>
      <c r="N77" s="227">
        <v>90</v>
      </c>
      <c r="O77" s="227">
        <v>-0.35525646999999999</v>
      </c>
      <c r="P77" s="227">
        <v>-1.3624277</v>
      </c>
      <c r="Q77" s="227">
        <v>0.13087934000000001</v>
      </c>
      <c r="R77" s="227">
        <v>0.41728609999999999</v>
      </c>
      <c r="S77" s="227">
        <v>1</v>
      </c>
      <c r="T77" s="227">
        <v>3522</v>
      </c>
      <c r="U77" s="227" t="s">
        <v>1948</v>
      </c>
    </row>
    <row r="78" spans="1:21" x14ac:dyDescent="0.25">
      <c r="A78" t="s">
        <v>1949</v>
      </c>
      <c r="B78">
        <v>18</v>
      </c>
      <c r="C78">
        <v>-0.46845819999999999</v>
      </c>
      <c r="D78">
        <v>-1.3549</v>
      </c>
      <c r="E78">
        <v>0.13588111</v>
      </c>
      <c r="F78">
        <v>0.42709297000000002</v>
      </c>
      <c r="G78">
        <v>1</v>
      </c>
      <c r="H78">
        <v>4153</v>
      </c>
      <c r="I78" t="s">
        <v>1950</v>
      </c>
      <c r="M78" s="227" t="s">
        <v>1949</v>
      </c>
      <c r="N78" s="227">
        <v>18</v>
      </c>
      <c r="O78" s="227">
        <v>-0.46845819999999999</v>
      </c>
      <c r="P78" s="227">
        <v>-1.3549</v>
      </c>
      <c r="Q78" s="227">
        <v>0.13588111</v>
      </c>
      <c r="R78" s="227">
        <v>0.42709297000000002</v>
      </c>
      <c r="S78" s="227">
        <v>1</v>
      </c>
      <c r="T78" s="227">
        <v>4153</v>
      </c>
      <c r="U78" s="227" t="s">
        <v>1950</v>
      </c>
    </row>
    <row r="79" spans="1:21" x14ac:dyDescent="0.25">
      <c r="A79" t="s">
        <v>1951</v>
      </c>
      <c r="B79">
        <v>57</v>
      </c>
      <c r="C79">
        <v>-0.37393500000000002</v>
      </c>
      <c r="D79">
        <v>-1.3529884000000001</v>
      </c>
      <c r="E79">
        <v>0.14949494999999999</v>
      </c>
      <c r="F79">
        <v>0.42551744000000002</v>
      </c>
      <c r="G79">
        <v>1</v>
      </c>
      <c r="H79">
        <v>4364</v>
      </c>
      <c r="I79" t="s">
        <v>1952</v>
      </c>
      <c r="M79" s="227" t="s">
        <v>1951</v>
      </c>
      <c r="N79" s="227">
        <v>57</v>
      </c>
      <c r="O79" s="227">
        <v>-0.37393500000000002</v>
      </c>
      <c r="P79" s="227">
        <v>-1.3529884000000001</v>
      </c>
      <c r="Q79" s="227">
        <v>0.14949494999999999</v>
      </c>
      <c r="R79" s="227">
        <v>0.42551744000000002</v>
      </c>
      <c r="S79" s="227">
        <v>1</v>
      </c>
      <c r="T79" s="227">
        <v>4364</v>
      </c>
      <c r="U79" s="227" t="s">
        <v>1952</v>
      </c>
    </row>
    <row r="80" spans="1:21" x14ac:dyDescent="0.25">
      <c r="A80" t="s">
        <v>1953</v>
      </c>
      <c r="B80">
        <v>149</v>
      </c>
      <c r="C80">
        <v>-0.35466239999999999</v>
      </c>
      <c r="D80">
        <v>-1.3414614</v>
      </c>
      <c r="E80">
        <v>0.15368420999999999</v>
      </c>
      <c r="F80">
        <v>0.44451264000000001</v>
      </c>
      <c r="G80">
        <v>1</v>
      </c>
      <c r="H80">
        <v>3669</v>
      </c>
      <c r="I80" t="s">
        <v>1954</v>
      </c>
      <c r="M80" s="227" t="s">
        <v>1953</v>
      </c>
      <c r="N80" s="227">
        <v>149</v>
      </c>
      <c r="O80" s="227">
        <v>-0.35466239999999999</v>
      </c>
      <c r="P80" s="227">
        <v>-1.3414614</v>
      </c>
      <c r="Q80" s="227">
        <v>0.15368420999999999</v>
      </c>
      <c r="R80" s="227">
        <v>0.44451264000000001</v>
      </c>
      <c r="S80" s="227">
        <v>1</v>
      </c>
      <c r="T80" s="227">
        <v>3669</v>
      </c>
      <c r="U80" s="227" t="s">
        <v>1954</v>
      </c>
    </row>
    <row r="81" spans="1:21" x14ac:dyDescent="0.25">
      <c r="A81" t="s">
        <v>1955</v>
      </c>
      <c r="B81">
        <v>23</v>
      </c>
      <c r="C81">
        <v>-0.45053052999999998</v>
      </c>
      <c r="D81">
        <v>-1.3278911</v>
      </c>
      <c r="E81">
        <v>0.17741935</v>
      </c>
      <c r="F81">
        <v>0.46780094999999999</v>
      </c>
      <c r="G81">
        <v>1</v>
      </c>
      <c r="H81">
        <v>4944</v>
      </c>
      <c r="I81" t="s">
        <v>1956</v>
      </c>
      <c r="M81" s="227" t="s">
        <v>1955</v>
      </c>
      <c r="N81" s="227">
        <v>23</v>
      </c>
      <c r="O81" s="227">
        <v>-0.45053052999999998</v>
      </c>
      <c r="P81" s="227">
        <v>-1.3278911</v>
      </c>
      <c r="Q81" s="227">
        <v>0.17741935</v>
      </c>
      <c r="R81" s="227">
        <v>0.46780094999999999</v>
      </c>
      <c r="S81" s="227">
        <v>1</v>
      </c>
      <c r="T81" s="227">
        <v>4944</v>
      </c>
      <c r="U81" s="227" t="s">
        <v>1956</v>
      </c>
    </row>
    <row r="82" spans="1:21" x14ac:dyDescent="0.25">
      <c r="A82" t="s">
        <v>1957</v>
      </c>
      <c r="B82">
        <v>25</v>
      </c>
      <c r="C82">
        <v>-0.41933303999999999</v>
      </c>
      <c r="D82">
        <v>-1.3212241</v>
      </c>
      <c r="E82">
        <v>0.15686275</v>
      </c>
      <c r="F82">
        <v>0.47677619999999998</v>
      </c>
      <c r="G82">
        <v>1</v>
      </c>
      <c r="H82">
        <v>4153</v>
      </c>
      <c r="I82" t="s">
        <v>1958</v>
      </c>
      <c r="M82" s="227" t="s">
        <v>1957</v>
      </c>
      <c r="N82" s="227">
        <v>25</v>
      </c>
      <c r="O82" s="227">
        <v>-0.41933303999999999</v>
      </c>
      <c r="P82" s="227">
        <v>-1.3212241</v>
      </c>
      <c r="Q82" s="227">
        <v>0.15686275</v>
      </c>
      <c r="R82" s="227">
        <v>0.47677619999999998</v>
      </c>
      <c r="S82" s="227">
        <v>1</v>
      </c>
      <c r="T82" s="227">
        <v>4153</v>
      </c>
      <c r="U82" s="227" t="s">
        <v>1958</v>
      </c>
    </row>
    <row r="83" spans="1:21" x14ac:dyDescent="0.25">
      <c r="A83" t="s">
        <v>1959</v>
      </c>
      <c r="B83">
        <v>54</v>
      </c>
      <c r="C83">
        <v>-0.37593369999999998</v>
      </c>
      <c r="D83">
        <v>-1.3200951000000001</v>
      </c>
      <c r="E83">
        <v>0.14373717</v>
      </c>
      <c r="F83">
        <v>0.47345490000000001</v>
      </c>
      <c r="G83">
        <v>1</v>
      </c>
      <c r="H83">
        <v>2882</v>
      </c>
      <c r="I83" t="s">
        <v>1960</v>
      </c>
      <c r="M83" s="227" t="s">
        <v>1959</v>
      </c>
      <c r="N83" s="227">
        <v>54</v>
      </c>
      <c r="O83" s="227">
        <v>-0.37593369999999998</v>
      </c>
      <c r="P83" s="227">
        <v>-1.3200951000000001</v>
      </c>
      <c r="Q83" s="227">
        <v>0.14373717</v>
      </c>
      <c r="R83" s="227">
        <v>0.47345490000000001</v>
      </c>
      <c r="S83" s="227">
        <v>1</v>
      </c>
      <c r="T83" s="227">
        <v>2882</v>
      </c>
      <c r="U83" s="227" t="s">
        <v>1960</v>
      </c>
    </row>
    <row r="84" spans="1:21" x14ac:dyDescent="0.25">
      <c r="A84" t="s">
        <v>1961</v>
      </c>
      <c r="B84">
        <v>18</v>
      </c>
      <c r="C84">
        <v>-0.44096327000000002</v>
      </c>
      <c r="D84">
        <v>-1.3168122</v>
      </c>
      <c r="E84">
        <v>0.15271966000000001</v>
      </c>
      <c r="F84">
        <v>0.47493879999999999</v>
      </c>
      <c r="G84">
        <v>1</v>
      </c>
      <c r="H84">
        <v>1940</v>
      </c>
      <c r="I84" t="s">
        <v>1962</v>
      </c>
      <c r="M84" s="227" t="s">
        <v>1961</v>
      </c>
      <c r="N84" s="227">
        <v>18</v>
      </c>
      <c r="O84" s="227">
        <v>-0.44096327000000002</v>
      </c>
      <c r="P84" s="227">
        <v>-1.3168122</v>
      </c>
      <c r="Q84" s="227">
        <v>0.15271966000000001</v>
      </c>
      <c r="R84" s="227">
        <v>0.47493879999999999</v>
      </c>
      <c r="S84" s="227">
        <v>1</v>
      </c>
      <c r="T84" s="227">
        <v>1940</v>
      </c>
      <c r="U84" s="227" t="s">
        <v>1962</v>
      </c>
    </row>
    <row r="85" spans="1:21" x14ac:dyDescent="0.25">
      <c r="A85" t="s">
        <v>1963</v>
      </c>
      <c r="B85">
        <v>33</v>
      </c>
      <c r="C85">
        <v>-0.35089120000000001</v>
      </c>
      <c r="D85">
        <v>-1.3147359999999999</v>
      </c>
      <c r="E85">
        <v>0.11205074</v>
      </c>
      <c r="F85">
        <v>0.47369497999999999</v>
      </c>
      <c r="G85">
        <v>1</v>
      </c>
      <c r="H85">
        <v>1794</v>
      </c>
      <c r="I85" t="s">
        <v>1964</v>
      </c>
      <c r="M85" s="227" t="s">
        <v>1963</v>
      </c>
      <c r="N85" s="227">
        <v>33</v>
      </c>
      <c r="O85" s="227">
        <v>-0.35089120000000001</v>
      </c>
      <c r="P85" s="227">
        <v>-1.3147359999999999</v>
      </c>
      <c r="Q85" s="227">
        <v>0.11205074</v>
      </c>
      <c r="R85" s="227">
        <v>0.47369497999999999</v>
      </c>
      <c r="S85" s="227">
        <v>1</v>
      </c>
      <c r="T85" s="227">
        <v>1794</v>
      </c>
      <c r="U85" s="227" t="s">
        <v>1964</v>
      </c>
    </row>
    <row r="86" spans="1:21" x14ac:dyDescent="0.25">
      <c r="A86" t="s">
        <v>1965</v>
      </c>
      <c r="B86">
        <v>22</v>
      </c>
      <c r="C86">
        <v>-0.48722932000000002</v>
      </c>
      <c r="D86">
        <v>-1.2994380999999999</v>
      </c>
      <c r="E86">
        <v>0.21621621999999999</v>
      </c>
      <c r="F86">
        <v>0.50158376000000005</v>
      </c>
      <c r="G86">
        <v>1</v>
      </c>
      <c r="H86">
        <v>2905</v>
      </c>
      <c r="I86" t="s">
        <v>1935</v>
      </c>
      <c r="M86" s="227" t="s">
        <v>1965</v>
      </c>
      <c r="N86" s="227">
        <v>22</v>
      </c>
      <c r="O86" s="227">
        <v>-0.48722932000000002</v>
      </c>
      <c r="P86" s="227">
        <v>-1.2994380999999999</v>
      </c>
      <c r="Q86" s="227">
        <v>0.21621621999999999</v>
      </c>
      <c r="R86" s="227">
        <v>0.50158376000000005</v>
      </c>
      <c r="S86" s="227">
        <v>1</v>
      </c>
      <c r="T86" s="227">
        <v>2905</v>
      </c>
      <c r="U86" s="227" t="s">
        <v>1935</v>
      </c>
    </row>
    <row r="87" spans="1:21" x14ac:dyDescent="0.25">
      <c r="A87" t="s">
        <v>1966</v>
      </c>
      <c r="B87">
        <v>169</v>
      </c>
      <c r="C87">
        <v>-0.36570200000000003</v>
      </c>
      <c r="D87">
        <v>-1.2897582000000001</v>
      </c>
      <c r="E87">
        <v>0.21841542</v>
      </c>
      <c r="F87">
        <v>0.51790570000000002</v>
      </c>
      <c r="G87">
        <v>1</v>
      </c>
      <c r="H87">
        <v>4778</v>
      </c>
      <c r="I87" t="s">
        <v>1967</v>
      </c>
      <c r="M87" s="227" t="s">
        <v>1966</v>
      </c>
      <c r="N87" s="227">
        <v>169</v>
      </c>
      <c r="O87" s="227">
        <v>-0.36570200000000003</v>
      </c>
      <c r="P87" s="227">
        <v>-1.2897582000000001</v>
      </c>
      <c r="Q87" s="227">
        <v>0.21841542</v>
      </c>
      <c r="R87" s="227">
        <v>0.51790570000000002</v>
      </c>
      <c r="S87" s="227">
        <v>1</v>
      </c>
      <c r="T87" s="227">
        <v>4778</v>
      </c>
      <c r="U87" s="227" t="s">
        <v>1967</v>
      </c>
    </row>
    <row r="88" spans="1:21" x14ac:dyDescent="0.25">
      <c r="A88" t="s">
        <v>1968</v>
      </c>
      <c r="B88">
        <v>444</v>
      </c>
      <c r="C88">
        <v>-0.27650406999999999</v>
      </c>
      <c r="D88">
        <v>-1.285922</v>
      </c>
      <c r="E88">
        <v>0.12554112000000001</v>
      </c>
      <c r="F88">
        <v>0.52077514000000003</v>
      </c>
      <c r="G88">
        <v>1</v>
      </c>
      <c r="H88">
        <v>4317</v>
      </c>
      <c r="I88" t="s">
        <v>1969</v>
      </c>
      <c r="M88" s="227" t="s">
        <v>1968</v>
      </c>
      <c r="N88" s="227">
        <v>444</v>
      </c>
      <c r="O88" s="227">
        <v>-0.27650406999999999</v>
      </c>
      <c r="P88" s="227">
        <v>-1.285922</v>
      </c>
      <c r="Q88" s="227">
        <v>0.12554112000000001</v>
      </c>
      <c r="R88" s="227">
        <v>0.52077514000000003</v>
      </c>
      <c r="S88" s="227">
        <v>1</v>
      </c>
      <c r="T88" s="227">
        <v>4317</v>
      </c>
      <c r="U88" s="227" t="s">
        <v>1969</v>
      </c>
    </row>
    <row r="89" spans="1:21" x14ac:dyDescent="0.25">
      <c r="A89" t="s">
        <v>1970</v>
      </c>
      <c r="B89">
        <v>24</v>
      </c>
      <c r="C89">
        <v>-0.42771136999999998</v>
      </c>
      <c r="D89">
        <v>-1.2799126999999999</v>
      </c>
      <c r="E89">
        <v>0.19556451999999999</v>
      </c>
      <c r="F89">
        <v>0.52863234000000003</v>
      </c>
      <c r="G89">
        <v>1</v>
      </c>
      <c r="H89">
        <v>4944</v>
      </c>
      <c r="I89" t="s">
        <v>1971</v>
      </c>
      <c r="M89" s="227" t="s">
        <v>1970</v>
      </c>
      <c r="N89" s="227">
        <v>24</v>
      </c>
      <c r="O89" s="227">
        <v>-0.42771136999999998</v>
      </c>
      <c r="P89" s="227">
        <v>-1.2799126999999999</v>
      </c>
      <c r="Q89" s="227">
        <v>0.19556451999999999</v>
      </c>
      <c r="R89" s="227">
        <v>0.52863234000000003</v>
      </c>
      <c r="S89" s="227">
        <v>1</v>
      </c>
      <c r="T89" s="227">
        <v>4944</v>
      </c>
      <c r="U89" s="227" t="s">
        <v>1971</v>
      </c>
    </row>
    <row r="90" spans="1:21" x14ac:dyDescent="0.25">
      <c r="A90" t="s">
        <v>1972</v>
      </c>
      <c r="B90">
        <v>234</v>
      </c>
      <c r="C90">
        <v>-0.32591506999999997</v>
      </c>
      <c r="D90">
        <v>-1.2718506999999999</v>
      </c>
      <c r="E90">
        <v>0.2184874</v>
      </c>
      <c r="F90">
        <v>0.54109180000000001</v>
      </c>
      <c r="G90">
        <v>1</v>
      </c>
      <c r="H90">
        <v>3572</v>
      </c>
      <c r="I90" t="s">
        <v>1973</v>
      </c>
      <c r="M90" s="227" t="s">
        <v>1972</v>
      </c>
      <c r="N90" s="227">
        <v>234</v>
      </c>
      <c r="O90" s="227">
        <v>-0.32591506999999997</v>
      </c>
      <c r="P90" s="227">
        <v>-1.2718506999999999</v>
      </c>
      <c r="Q90" s="227">
        <v>0.2184874</v>
      </c>
      <c r="R90" s="227">
        <v>0.54109180000000001</v>
      </c>
      <c r="S90" s="227">
        <v>1</v>
      </c>
      <c r="T90" s="227">
        <v>3572</v>
      </c>
      <c r="U90" s="227" t="s">
        <v>1973</v>
      </c>
    </row>
    <row r="91" spans="1:21" x14ac:dyDescent="0.25">
      <c r="A91" t="s">
        <v>1974</v>
      </c>
      <c r="B91">
        <v>16</v>
      </c>
      <c r="C91">
        <v>-0.39999518000000001</v>
      </c>
      <c r="D91">
        <v>-1.2580047999999999</v>
      </c>
      <c r="E91">
        <v>0.16877638</v>
      </c>
      <c r="F91">
        <v>0.56813199999999997</v>
      </c>
      <c r="G91">
        <v>1</v>
      </c>
      <c r="H91">
        <v>3721</v>
      </c>
      <c r="I91" t="s">
        <v>1975</v>
      </c>
      <c r="M91" s="227" t="s">
        <v>1974</v>
      </c>
      <c r="N91" s="227">
        <v>16</v>
      </c>
      <c r="O91" s="227">
        <v>-0.39999518000000001</v>
      </c>
      <c r="P91" s="227">
        <v>-1.2580047999999999</v>
      </c>
      <c r="Q91" s="227">
        <v>0.16877638</v>
      </c>
      <c r="R91" s="227">
        <v>0.56813199999999997</v>
      </c>
      <c r="S91" s="227">
        <v>1</v>
      </c>
      <c r="T91" s="227">
        <v>3721</v>
      </c>
      <c r="U91" s="227" t="s">
        <v>1975</v>
      </c>
    </row>
    <row r="92" spans="1:21" x14ac:dyDescent="0.25">
      <c r="A92" t="s">
        <v>1976</v>
      </c>
      <c r="B92">
        <v>18</v>
      </c>
      <c r="C92">
        <v>-0.46297798000000001</v>
      </c>
      <c r="D92">
        <v>-1.2555403999999999</v>
      </c>
      <c r="E92">
        <v>0.24193548000000001</v>
      </c>
      <c r="F92">
        <v>0.56766660000000002</v>
      </c>
      <c r="G92">
        <v>1</v>
      </c>
      <c r="H92">
        <v>2393</v>
      </c>
      <c r="I92" t="s">
        <v>1977</v>
      </c>
      <c r="M92" s="227" t="s">
        <v>1976</v>
      </c>
      <c r="N92" s="227">
        <v>18</v>
      </c>
      <c r="O92" s="227">
        <v>-0.46297798000000001</v>
      </c>
      <c r="P92" s="227">
        <v>-1.2555403999999999</v>
      </c>
      <c r="Q92" s="227">
        <v>0.24193548000000001</v>
      </c>
      <c r="R92" s="227">
        <v>0.56766660000000002</v>
      </c>
      <c r="S92" s="227">
        <v>1</v>
      </c>
      <c r="T92" s="227">
        <v>2393</v>
      </c>
      <c r="U92" s="227" t="s">
        <v>1977</v>
      </c>
    </row>
    <row r="93" spans="1:21" x14ac:dyDescent="0.25">
      <c r="A93" t="s">
        <v>1978</v>
      </c>
      <c r="B93">
        <v>23</v>
      </c>
      <c r="C93">
        <v>-0.36822778</v>
      </c>
      <c r="D93">
        <v>-1.2438309000000001</v>
      </c>
      <c r="E93">
        <v>0.17913831999999999</v>
      </c>
      <c r="F93">
        <v>0.58991545000000001</v>
      </c>
      <c r="G93">
        <v>1</v>
      </c>
      <c r="H93">
        <v>2170</v>
      </c>
      <c r="I93" t="s">
        <v>1979</v>
      </c>
      <c r="M93" s="227" t="s">
        <v>1978</v>
      </c>
      <c r="N93" s="227">
        <v>23</v>
      </c>
      <c r="O93" s="227">
        <v>-0.36822778</v>
      </c>
      <c r="P93" s="227">
        <v>-1.2438309000000001</v>
      </c>
      <c r="Q93" s="227">
        <v>0.17913831999999999</v>
      </c>
      <c r="R93" s="227">
        <v>0.58991545000000001</v>
      </c>
      <c r="S93" s="227">
        <v>1</v>
      </c>
      <c r="T93" s="227">
        <v>2170</v>
      </c>
      <c r="U93" s="227" t="s">
        <v>1979</v>
      </c>
    </row>
    <row r="94" spans="1:21" x14ac:dyDescent="0.25">
      <c r="A94" t="s">
        <v>1980</v>
      </c>
      <c r="B94">
        <v>23</v>
      </c>
      <c r="C94">
        <v>-0.36822778</v>
      </c>
      <c r="D94">
        <v>-1.2438309000000001</v>
      </c>
      <c r="E94">
        <v>0.17913831999999999</v>
      </c>
      <c r="F94">
        <v>0.58350325000000003</v>
      </c>
      <c r="G94">
        <v>1</v>
      </c>
      <c r="H94">
        <v>2170</v>
      </c>
      <c r="I94" t="s">
        <v>1979</v>
      </c>
      <c r="M94" s="227" t="s">
        <v>1980</v>
      </c>
      <c r="N94" s="227">
        <v>23</v>
      </c>
      <c r="O94" s="227">
        <v>-0.36822778</v>
      </c>
      <c r="P94" s="227">
        <v>-1.2438309000000001</v>
      </c>
      <c r="Q94" s="227">
        <v>0.17913831999999999</v>
      </c>
      <c r="R94" s="227">
        <v>0.58350325000000003</v>
      </c>
      <c r="S94" s="227">
        <v>1</v>
      </c>
      <c r="T94" s="227">
        <v>2170</v>
      </c>
      <c r="U94" s="227" t="s">
        <v>1979</v>
      </c>
    </row>
    <row r="95" spans="1:21" x14ac:dyDescent="0.25">
      <c r="A95" t="s">
        <v>1981</v>
      </c>
      <c r="B95">
        <v>136</v>
      </c>
      <c r="C95">
        <v>-0.31976260000000001</v>
      </c>
      <c r="D95">
        <v>-1.2403331</v>
      </c>
      <c r="E95">
        <v>0.21632652999999999</v>
      </c>
      <c r="F95">
        <v>0.58553469999999996</v>
      </c>
      <c r="G95">
        <v>1</v>
      </c>
      <c r="H95">
        <v>3669</v>
      </c>
      <c r="I95" t="s">
        <v>1942</v>
      </c>
      <c r="M95" s="227" t="s">
        <v>1981</v>
      </c>
      <c r="N95" s="227">
        <v>136</v>
      </c>
      <c r="O95" s="227">
        <v>-0.31976260000000001</v>
      </c>
      <c r="P95" s="227">
        <v>-1.2403331</v>
      </c>
      <c r="Q95" s="227">
        <v>0.21632652999999999</v>
      </c>
      <c r="R95" s="227">
        <v>0.58553469999999996</v>
      </c>
      <c r="S95" s="227">
        <v>1</v>
      </c>
      <c r="T95" s="227">
        <v>3669</v>
      </c>
      <c r="U95" s="227" t="s">
        <v>1942</v>
      </c>
    </row>
    <row r="96" spans="1:21" x14ac:dyDescent="0.25">
      <c r="A96" t="s">
        <v>1982</v>
      </c>
      <c r="B96">
        <v>15</v>
      </c>
      <c r="C96">
        <v>-0.43345377000000002</v>
      </c>
      <c r="D96">
        <v>-1.2309593000000001</v>
      </c>
      <c r="E96">
        <v>0.22172949</v>
      </c>
      <c r="F96">
        <v>0.60193490000000005</v>
      </c>
      <c r="G96">
        <v>1</v>
      </c>
      <c r="H96">
        <v>3183</v>
      </c>
      <c r="I96" t="s">
        <v>1983</v>
      </c>
      <c r="M96" s="227" t="s">
        <v>1982</v>
      </c>
      <c r="N96" s="227">
        <v>15</v>
      </c>
      <c r="O96" s="227">
        <v>-0.43345377000000002</v>
      </c>
      <c r="P96" s="227">
        <v>-1.2309593000000001</v>
      </c>
      <c r="Q96" s="227">
        <v>0.22172949</v>
      </c>
      <c r="R96" s="227">
        <v>0.60193490000000005</v>
      </c>
      <c r="S96" s="227">
        <v>1</v>
      </c>
      <c r="T96" s="227">
        <v>3183</v>
      </c>
      <c r="U96" s="227" t="s">
        <v>1983</v>
      </c>
    </row>
    <row r="97" spans="1:21" x14ac:dyDescent="0.25">
      <c r="A97" t="s">
        <v>1984</v>
      </c>
      <c r="B97">
        <v>30</v>
      </c>
      <c r="C97">
        <v>-0.36741757000000003</v>
      </c>
      <c r="D97">
        <v>-1.22881</v>
      </c>
      <c r="E97">
        <v>0.23061224999999999</v>
      </c>
      <c r="F97">
        <v>0.6008346</v>
      </c>
      <c r="G97">
        <v>1</v>
      </c>
      <c r="H97">
        <v>3343</v>
      </c>
      <c r="I97" t="s">
        <v>1985</v>
      </c>
      <c r="M97" s="227" t="s">
        <v>1984</v>
      </c>
      <c r="N97" s="227">
        <v>30</v>
      </c>
      <c r="O97" s="227">
        <v>-0.36741757000000003</v>
      </c>
      <c r="P97" s="227">
        <v>-1.22881</v>
      </c>
      <c r="Q97" s="227">
        <v>0.23061224999999999</v>
      </c>
      <c r="R97" s="227">
        <v>0.6008346</v>
      </c>
      <c r="S97" s="227">
        <v>1</v>
      </c>
      <c r="T97" s="227">
        <v>3343</v>
      </c>
      <c r="U97" s="227" t="s">
        <v>1985</v>
      </c>
    </row>
    <row r="98" spans="1:21" x14ac:dyDescent="0.25">
      <c r="A98" t="s">
        <v>1986</v>
      </c>
      <c r="B98">
        <v>19</v>
      </c>
      <c r="C98">
        <v>-0.41408080000000003</v>
      </c>
      <c r="D98">
        <v>-1.2286341000000001</v>
      </c>
      <c r="E98">
        <v>0.21412803</v>
      </c>
      <c r="F98">
        <v>0.59509515999999996</v>
      </c>
      <c r="G98">
        <v>1</v>
      </c>
      <c r="H98">
        <v>3183</v>
      </c>
      <c r="I98" t="s">
        <v>1987</v>
      </c>
      <c r="M98" s="227" t="s">
        <v>1986</v>
      </c>
      <c r="N98" s="227">
        <v>19</v>
      </c>
      <c r="O98" s="227">
        <v>-0.41408080000000003</v>
      </c>
      <c r="P98" s="227">
        <v>-1.2286341000000001</v>
      </c>
      <c r="Q98" s="227">
        <v>0.21412803</v>
      </c>
      <c r="R98" s="227">
        <v>0.59509515999999996</v>
      </c>
      <c r="S98" s="227">
        <v>1</v>
      </c>
      <c r="T98" s="227">
        <v>3183</v>
      </c>
      <c r="U98" s="227" t="s">
        <v>1987</v>
      </c>
    </row>
    <row r="99" spans="1:21" x14ac:dyDescent="0.25">
      <c r="A99" t="s">
        <v>1988</v>
      </c>
      <c r="B99">
        <v>129</v>
      </c>
      <c r="C99">
        <v>-0.28244096000000002</v>
      </c>
      <c r="D99">
        <v>-1.2165438</v>
      </c>
      <c r="E99">
        <v>0.19628098999999999</v>
      </c>
      <c r="F99">
        <v>0.61865340000000002</v>
      </c>
      <c r="G99">
        <v>1</v>
      </c>
      <c r="H99">
        <v>2616</v>
      </c>
      <c r="I99" t="s">
        <v>1989</v>
      </c>
      <c r="M99" s="227" t="s">
        <v>1988</v>
      </c>
      <c r="N99" s="227">
        <v>129</v>
      </c>
      <c r="O99" s="227">
        <v>-0.28244096000000002</v>
      </c>
      <c r="P99" s="227">
        <v>-1.2165438</v>
      </c>
      <c r="Q99" s="227">
        <v>0.19628098999999999</v>
      </c>
      <c r="R99" s="227">
        <v>0.61865340000000002</v>
      </c>
      <c r="S99" s="227">
        <v>1</v>
      </c>
      <c r="T99" s="227">
        <v>2616</v>
      </c>
      <c r="U99" s="227" t="s">
        <v>1989</v>
      </c>
    </row>
    <row r="100" spans="1:21" x14ac:dyDescent="0.25">
      <c r="A100" t="s">
        <v>1990</v>
      </c>
      <c r="B100">
        <v>90</v>
      </c>
      <c r="C100">
        <v>-0.30222976000000001</v>
      </c>
      <c r="D100">
        <v>-1.2132856999999999</v>
      </c>
      <c r="E100">
        <v>0.19916143</v>
      </c>
      <c r="F100">
        <v>0.62016742999999996</v>
      </c>
      <c r="G100">
        <v>1</v>
      </c>
      <c r="H100">
        <v>3572</v>
      </c>
      <c r="I100" t="s">
        <v>1991</v>
      </c>
      <c r="M100" s="227" t="s">
        <v>1990</v>
      </c>
      <c r="N100" s="227">
        <v>90</v>
      </c>
      <c r="O100" s="227">
        <v>-0.30222976000000001</v>
      </c>
      <c r="P100" s="227">
        <v>-1.2132856999999999</v>
      </c>
      <c r="Q100" s="227">
        <v>0.19916143</v>
      </c>
      <c r="R100" s="227">
        <v>0.62016742999999996</v>
      </c>
      <c r="S100" s="227">
        <v>1</v>
      </c>
      <c r="T100" s="227">
        <v>3572</v>
      </c>
      <c r="U100" s="227" t="s">
        <v>1991</v>
      </c>
    </row>
    <row r="101" spans="1:21" x14ac:dyDescent="0.25">
      <c r="A101" t="s">
        <v>1992</v>
      </c>
      <c r="B101">
        <v>50</v>
      </c>
      <c r="C101">
        <v>-0.36792150000000001</v>
      </c>
      <c r="D101">
        <v>-1.2095541000000001</v>
      </c>
      <c r="E101">
        <v>0.23768735999999999</v>
      </c>
      <c r="F101">
        <v>0.62275164999999999</v>
      </c>
      <c r="G101">
        <v>1</v>
      </c>
      <c r="H101">
        <v>3572</v>
      </c>
      <c r="I101" t="s">
        <v>1881</v>
      </c>
      <c r="M101" s="227" t="s">
        <v>1992</v>
      </c>
      <c r="N101" s="227">
        <v>50</v>
      </c>
      <c r="O101" s="227">
        <v>-0.36792150000000001</v>
      </c>
      <c r="P101" s="227">
        <v>-1.2095541000000001</v>
      </c>
      <c r="Q101" s="227">
        <v>0.23768735999999999</v>
      </c>
      <c r="R101" s="227">
        <v>0.62275164999999999</v>
      </c>
      <c r="S101" s="227">
        <v>1</v>
      </c>
      <c r="T101" s="227">
        <v>3572</v>
      </c>
      <c r="U101" s="227" t="s">
        <v>1881</v>
      </c>
    </row>
    <row r="102" spans="1:21" x14ac:dyDescent="0.25">
      <c r="A102" t="s">
        <v>1993</v>
      </c>
      <c r="B102">
        <v>306</v>
      </c>
      <c r="C102">
        <v>-0.27223526999999997</v>
      </c>
      <c r="D102">
        <v>-1.1916153</v>
      </c>
      <c r="E102">
        <v>0.22171946000000001</v>
      </c>
      <c r="F102">
        <v>0.66176080000000004</v>
      </c>
      <c r="G102">
        <v>1</v>
      </c>
      <c r="H102">
        <v>3537</v>
      </c>
      <c r="I102" t="s">
        <v>1994</v>
      </c>
      <c r="M102" s="227" t="s">
        <v>1993</v>
      </c>
      <c r="N102" s="227">
        <v>306</v>
      </c>
      <c r="O102" s="227">
        <v>-0.27223526999999997</v>
      </c>
      <c r="P102" s="227">
        <v>-1.1916153</v>
      </c>
      <c r="Q102" s="227">
        <v>0.22171946000000001</v>
      </c>
      <c r="R102" s="227">
        <v>0.66176080000000004</v>
      </c>
      <c r="S102" s="227">
        <v>1</v>
      </c>
      <c r="T102" s="227">
        <v>3537</v>
      </c>
      <c r="U102" s="227" t="s">
        <v>1994</v>
      </c>
    </row>
    <row r="103" spans="1:21" x14ac:dyDescent="0.25">
      <c r="A103" t="s">
        <v>1995</v>
      </c>
      <c r="B103">
        <v>23</v>
      </c>
      <c r="C103">
        <v>-0.43370712</v>
      </c>
      <c r="D103">
        <v>-1.1913996</v>
      </c>
      <c r="E103">
        <v>0.28598847999999999</v>
      </c>
      <c r="F103">
        <v>0.65570629999999996</v>
      </c>
      <c r="G103">
        <v>1</v>
      </c>
      <c r="H103">
        <v>3522</v>
      </c>
      <c r="I103" t="s">
        <v>1996</v>
      </c>
      <c r="M103" s="227" t="s">
        <v>1995</v>
      </c>
      <c r="N103" s="227">
        <v>23</v>
      </c>
      <c r="O103" s="227">
        <v>-0.43370712</v>
      </c>
      <c r="P103" s="227">
        <v>-1.1913996</v>
      </c>
      <c r="Q103" s="227">
        <v>0.28598847999999999</v>
      </c>
      <c r="R103" s="227">
        <v>0.65570629999999996</v>
      </c>
      <c r="S103" s="227">
        <v>1</v>
      </c>
      <c r="T103" s="227">
        <v>3522</v>
      </c>
      <c r="U103" s="227" t="s">
        <v>1996</v>
      </c>
    </row>
    <row r="104" spans="1:21" x14ac:dyDescent="0.25">
      <c r="A104" t="s">
        <v>1997</v>
      </c>
      <c r="B104">
        <v>285</v>
      </c>
      <c r="C104">
        <v>-0.27068950000000003</v>
      </c>
      <c r="D104">
        <v>-1.1878746</v>
      </c>
      <c r="E104">
        <v>0.222</v>
      </c>
      <c r="F104">
        <v>0.65841185999999996</v>
      </c>
      <c r="G104">
        <v>1</v>
      </c>
      <c r="H104">
        <v>3343</v>
      </c>
      <c r="I104" t="s">
        <v>1998</v>
      </c>
      <c r="M104" s="227" t="s">
        <v>1997</v>
      </c>
      <c r="N104" s="227">
        <v>285</v>
      </c>
      <c r="O104" s="227">
        <v>-0.27068950000000003</v>
      </c>
      <c r="P104" s="227">
        <v>-1.1878746</v>
      </c>
      <c r="Q104" s="227">
        <v>0.222</v>
      </c>
      <c r="R104" s="227">
        <v>0.65841185999999996</v>
      </c>
      <c r="S104" s="227">
        <v>1</v>
      </c>
      <c r="T104" s="227">
        <v>3343</v>
      </c>
      <c r="U104" s="227" t="s">
        <v>1998</v>
      </c>
    </row>
    <row r="105" spans="1:21" x14ac:dyDescent="0.25">
      <c r="A105" t="s">
        <v>1999</v>
      </c>
      <c r="B105">
        <v>18</v>
      </c>
      <c r="C105">
        <v>-0.39921269999999998</v>
      </c>
      <c r="D105">
        <v>-1.1852895999999999</v>
      </c>
      <c r="E105">
        <v>0.26004228000000001</v>
      </c>
      <c r="F105">
        <v>0.65874630000000001</v>
      </c>
      <c r="G105">
        <v>1</v>
      </c>
      <c r="H105">
        <v>3653</v>
      </c>
      <c r="I105" t="s">
        <v>2000</v>
      </c>
      <c r="M105" s="227" t="s">
        <v>1999</v>
      </c>
      <c r="N105" s="227">
        <v>18</v>
      </c>
      <c r="O105" s="227">
        <v>-0.39921269999999998</v>
      </c>
      <c r="P105" s="227">
        <v>-1.1852895999999999</v>
      </c>
      <c r="Q105" s="227">
        <v>0.26004228000000001</v>
      </c>
      <c r="R105" s="227">
        <v>0.65874630000000001</v>
      </c>
      <c r="S105" s="227">
        <v>1</v>
      </c>
      <c r="T105" s="227">
        <v>3653</v>
      </c>
      <c r="U105" s="227" t="s">
        <v>2000</v>
      </c>
    </row>
    <row r="106" spans="1:21" x14ac:dyDescent="0.25">
      <c r="A106" t="s">
        <v>2001</v>
      </c>
      <c r="B106">
        <v>19</v>
      </c>
      <c r="C106">
        <v>-0.42580129999999999</v>
      </c>
      <c r="D106">
        <v>-1.1836802</v>
      </c>
      <c r="E106">
        <v>0.28066528000000002</v>
      </c>
      <c r="F106">
        <v>0.65639674999999997</v>
      </c>
      <c r="G106">
        <v>1</v>
      </c>
      <c r="H106">
        <v>3572</v>
      </c>
      <c r="I106" t="s">
        <v>2002</v>
      </c>
      <c r="M106" s="227" t="s">
        <v>2001</v>
      </c>
      <c r="N106" s="227">
        <v>19</v>
      </c>
      <c r="O106" s="227">
        <v>-0.42580129999999999</v>
      </c>
      <c r="P106" s="227">
        <v>-1.1836802</v>
      </c>
      <c r="Q106" s="227">
        <v>0.28066528000000002</v>
      </c>
      <c r="R106" s="227">
        <v>0.65639674999999997</v>
      </c>
      <c r="S106" s="227">
        <v>1</v>
      </c>
      <c r="T106" s="227">
        <v>3572</v>
      </c>
      <c r="U106" s="227" t="s">
        <v>2002</v>
      </c>
    </row>
    <row r="107" spans="1:21" x14ac:dyDescent="0.25">
      <c r="A107" t="s">
        <v>2003</v>
      </c>
      <c r="B107">
        <v>16</v>
      </c>
      <c r="C107">
        <v>-0.37832293</v>
      </c>
      <c r="D107">
        <v>-1.1823197999999999</v>
      </c>
      <c r="E107">
        <v>0.23643410000000001</v>
      </c>
      <c r="F107">
        <v>0.65385769999999999</v>
      </c>
      <c r="G107">
        <v>1</v>
      </c>
      <c r="H107">
        <v>1490</v>
      </c>
      <c r="I107" t="s">
        <v>2004</v>
      </c>
      <c r="M107" s="227" t="s">
        <v>2003</v>
      </c>
      <c r="N107" s="227">
        <v>16</v>
      </c>
      <c r="O107" s="227">
        <v>-0.37832293</v>
      </c>
      <c r="P107" s="227">
        <v>-1.1823197999999999</v>
      </c>
      <c r="Q107" s="227">
        <v>0.23643410000000001</v>
      </c>
      <c r="R107" s="227">
        <v>0.65385769999999999</v>
      </c>
      <c r="S107" s="227">
        <v>1</v>
      </c>
      <c r="T107" s="227">
        <v>1490</v>
      </c>
      <c r="U107" s="227" t="s">
        <v>2004</v>
      </c>
    </row>
    <row r="108" spans="1:21" x14ac:dyDescent="0.25">
      <c r="A108" t="s">
        <v>2005</v>
      </c>
      <c r="B108">
        <v>169</v>
      </c>
      <c r="C108">
        <v>-0.26284370000000001</v>
      </c>
      <c r="D108">
        <v>-1.1791418</v>
      </c>
      <c r="E108">
        <v>0.20675104999999999</v>
      </c>
      <c r="F108">
        <v>0.65552926</v>
      </c>
      <c r="G108">
        <v>1</v>
      </c>
      <c r="H108">
        <v>3132</v>
      </c>
      <c r="I108" t="s">
        <v>2006</v>
      </c>
      <c r="M108" s="227" t="s">
        <v>2005</v>
      </c>
      <c r="N108" s="227">
        <v>169</v>
      </c>
      <c r="O108" s="227">
        <v>-0.26284370000000001</v>
      </c>
      <c r="P108" s="227">
        <v>-1.1791418</v>
      </c>
      <c r="Q108" s="227">
        <v>0.20675104999999999</v>
      </c>
      <c r="R108" s="227">
        <v>0.65552926</v>
      </c>
      <c r="S108" s="227">
        <v>1</v>
      </c>
      <c r="T108" s="227">
        <v>3132</v>
      </c>
      <c r="U108" s="227" t="s">
        <v>2006</v>
      </c>
    </row>
    <row r="109" spans="1:21" x14ac:dyDescent="0.25">
      <c r="A109" t="s">
        <v>2007</v>
      </c>
      <c r="B109">
        <v>32</v>
      </c>
      <c r="C109">
        <v>-0.32882386000000002</v>
      </c>
      <c r="D109">
        <v>-1.1779109999999999</v>
      </c>
      <c r="E109">
        <v>0.23880596000000001</v>
      </c>
      <c r="F109">
        <v>0.65228730000000001</v>
      </c>
      <c r="G109">
        <v>1</v>
      </c>
      <c r="H109">
        <v>3028</v>
      </c>
      <c r="I109" t="s">
        <v>2008</v>
      </c>
      <c r="M109" s="227" t="s">
        <v>2007</v>
      </c>
      <c r="N109" s="227">
        <v>32</v>
      </c>
      <c r="O109" s="227">
        <v>-0.32882386000000002</v>
      </c>
      <c r="P109" s="227">
        <v>-1.1779109999999999</v>
      </c>
      <c r="Q109" s="227">
        <v>0.23880596000000001</v>
      </c>
      <c r="R109" s="227">
        <v>0.65228730000000001</v>
      </c>
      <c r="S109" s="227">
        <v>1</v>
      </c>
      <c r="T109" s="227">
        <v>3028</v>
      </c>
      <c r="U109" s="227" t="s">
        <v>2008</v>
      </c>
    </row>
    <row r="110" spans="1:21" x14ac:dyDescent="0.25">
      <c r="A110" t="s">
        <v>2009</v>
      </c>
      <c r="B110">
        <v>16</v>
      </c>
      <c r="C110">
        <v>-0.41432722999999999</v>
      </c>
      <c r="D110">
        <v>-1.1749537999999999</v>
      </c>
      <c r="E110">
        <v>0.26282050000000001</v>
      </c>
      <c r="F110">
        <v>0.65363990000000005</v>
      </c>
      <c r="G110">
        <v>1</v>
      </c>
      <c r="H110">
        <v>3885</v>
      </c>
      <c r="I110" t="s">
        <v>2010</v>
      </c>
      <c r="M110" s="227" t="s">
        <v>2009</v>
      </c>
      <c r="N110" s="227">
        <v>16</v>
      </c>
      <c r="O110" s="227">
        <v>-0.41432722999999999</v>
      </c>
      <c r="P110" s="227">
        <v>-1.1749537999999999</v>
      </c>
      <c r="Q110" s="227">
        <v>0.26282050000000001</v>
      </c>
      <c r="R110" s="227">
        <v>0.65363990000000005</v>
      </c>
      <c r="S110" s="227">
        <v>1</v>
      </c>
      <c r="T110" s="227">
        <v>3885</v>
      </c>
      <c r="U110" s="227" t="s">
        <v>2010</v>
      </c>
    </row>
    <row r="111" spans="1:21" x14ac:dyDescent="0.25">
      <c r="A111" t="s">
        <v>2011</v>
      </c>
      <c r="B111">
        <v>50</v>
      </c>
      <c r="C111">
        <v>-0.34589750000000002</v>
      </c>
      <c r="D111">
        <v>-1.1716392</v>
      </c>
      <c r="E111">
        <v>0.30020285000000002</v>
      </c>
      <c r="F111">
        <v>0.65566605</v>
      </c>
      <c r="G111">
        <v>1</v>
      </c>
      <c r="H111">
        <v>2020</v>
      </c>
      <c r="I111" t="s">
        <v>2012</v>
      </c>
      <c r="M111" s="227" t="s">
        <v>2011</v>
      </c>
      <c r="N111" s="227">
        <v>50</v>
      </c>
      <c r="O111" s="227">
        <v>-0.34589750000000002</v>
      </c>
      <c r="P111" s="227">
        <v>-1.1716392</v>
      </c>
      <c r="Q111" s="227">
        <v>0.30020285000000002</v>
      </c>
      <c r="R111" s="227">
        <v>0.65566605</v>
      </c>
      <c r="S111" s="227">
        <v>1</v>
      </c>
      <c r="T111" s="227">
        <v>2020</v>
      </c>
      <c r="U111" s="227" t="s">
        <v>2012</v>
      </c>
    </row>
    <row r="112" spans="1:21" x14ac:dyDescent="0.25">
      <c r="A112" t="s">
        <v>2013</v>
      </c>
      <c r="B112">
        <v>28</v>
      </c>
      <c r="C112">
        <v>-0.40931925000000002</v>
      </c>
      <c r="D112">
        <v>-1.1683136999999999</v>
      </c>
      <c r="E112">
        <v>0.29059829999999998</v>
      </c>
      <c r="F112">
        <v>0.65788650000000004</v>
      </c>
      <c r="G112">
        <v>1</v>
      </c>
      <c r="H112">
        <v>3376</v>
      </c>
      <c r="I112" t="s">
        <v>2014</v>
      </c>
      <c r="M112" s="227" t="s">
        <v>2013</v>
      </c>
      <c r="N112" s="227">
        <v>28</v>
      </c>
      <c r="O112" s="227">
        <v>-0.40931925000000002</v>
      </c>
      <c r="P112" s="227">
        <v>-1.1683136999999999</v>
      </c>
      <c r="Q112" s="227">
        <v>0.29059829999999998</v>
      </c>
      <c r="R112" s="227">
        <v>0.65788650000000004</v>
      </c>
      <c r="S112" s="227">
        <v>1</v>
      </c>
      <c r="T112" s="227">
        <v>3376</v>
      </c>
      <c r="U112" s="227" t="s">
        <v>2014</v>
      </c>
    </row>
    <row r="113" spans="1:21" x14ac:dyDescent="0.25">
      <c r="A113" t="s">
        <v>2015</v>
      </c>
      <c r="B113">
        <v>31</v>
      </c>
      <c r="C113">
        <v>-0.33286157</v>
      </c>
      <c r="D113">
        <v>-1.1570657</v>
      </c>
      <c r="E113">
        <v>0.2410148</v>
      </c>
      <c r="F113">
        <v>0.67969679999999999</v>
      </c>
      <c r="G113">
        <v>1</v>
      </c>
      <c r="H113">
        <v>1547</v>
      </c>
      <c r="I113" t="s">
        <v>2016</v>
      </c>
      <c r="M113" s="227" t="s">
        <v>2015</v>
      </c>
      <c r="N113" s="227">
        <v>31</v>
      </c>
      <c r="O113" s="227">
        <v>-0.33286157</v>
      </c>
      <c r="P113" s="227">
        <v>-1.1570657</v>
      </c>
      <c r="Q113" s="227">
        <v>0.2410148</v>
      </c>
      <c r="R113" s="227">
        <v>0.67969679999999999</v>
      </c>
      <c r="S113" s="227">
        <v>1</v>
      </c>
      <c r="T113" s="227">
        <v>1547</v>
      </c>
      <c r="U113" s="227" t="s">
        <v>2016</v>
      </c>
    </row>
    <row r="114" spans="1:21" x14ac:dyDescent="0.25">
      <c r="A114" t="s">
        <v>2017</v>
      </c>
      <c r="B114">
        <v>26</v>
      </c>
      <c r="C114">
        <v>-0.34943274000000002</v>
      </c>
      <c r="D114">
        <v>-1.1526567000000001</v>
      </c>
      <c r="E114">
        <v>0.26652451999999999</v>
      </c>
      <c r="F114">
        <v>0.68480589999999997</v>
      </c>
      <c r="G114">
        <v>1</v>
      </c>
      <c r="H114">
        <v>2077</v>
      </c>
      <c r="I114" t="s">
        <v>2018</v>
      </c>
      <c r="M114" s="227" t="s">
        <v>2017</v>
      </c>
      <c r="N114" s="227">
        <v>26</v>
      </c>
      <c r="O114" s="227">
        <v>-0.34943274000000002</v>
      </c>
      <c r="P114" s="227">
        <v>-1.1526567000000001</v>
      </c>
      <c r="Q114" s="227">
        <v>0.26652451999999999</v>
      </c>
      <c r="R114" s="227">
        <v>0.68480589999999997</v>
      </c>
      <c r="S114" s="227">
        <v>1</v>
      </c>
      <c r="T114" s="227">
        <v>2077</v>
      </c>
      <c r="U114" s="227" t="s">
        <v>2018</v>
      </c>
    </row>
    <row r="115" spans="1:21" x14ac:dyDescent="0.25">
      <c r="A115" t="s">
        <v>2019</v>
      </c>
      <c r="B115">
        <v>19</v>
      </c>
      <c r="C115">
        <v>-0.43711263</v>
      </c>
      <c r="D115">
        <v>-1.1487371</v>
      </c>
      <c r="E115">
        <v>0.33035713</v>
      </c>
      <c r="F115">
        <v>0.68850029999999995</v>
      </c>
      <c r="G115">
        <v>1</v>
      </c>
      <c r="H115">
        <v>3763</v>
      </c>
      <c r="I115" t="s">
        <v>2020</v>
      </c>
      <c r="M115" s="227" t="s">
        <v>2019</v>
      </c>
      <c r="N115" s="227">
        <v>19</v>
      </c>
      <c r="O115" s="227">
        <v>-0.43711263</v>
      </c>
      <c r="P115" s="227">
        <v>-1.1487371</v>
      </c>
      <c r="Q115" s="227">
        <v>0.33035713</v>
      </c>
      <c r="R115" s="227">
        <v>0.68850029999999995</v>
      </c>
      <c r="S115" s="227">
        <v>1</v>
      </c>
      <c r="T115" s="227">
        <v>3763</v>
      </c>
      <c r="U115" s="227" t="s">
        <v>2020</v>
      </c>
    </row>
    <row r="116" spans="1:21" x14ac:dyDescent="0.25">
      <c r="A116" t="s">
        <v>2021</v>
      </c>
      <c r="B116">
        <v>44</v>
      </c>
      <c r="C116">
        <v>-0.3254204</v>
      </c>
      <c r="D116">
        <v>-1.1453854999999999</v>
      </c>
      <c r="E116">
        <v>0.2920354</v>
      </c>
      <c r="F116">
        <v>0.69151706000000002</v>
      </c>
      <c r="G116">
        <v>1</v>
      </c>
      <c r="H116">
        <v>3752</v>
      </c>
      <c r="I116" t="s">
        <v>2022</v>
      </c>
      <c r="M116" s="227" t="s">
        <v>2021</v>
      </c>
      <c r="N116" s="227">
        <v>44</v>
      </c>
      <c r="O116" s="227">
        <v>-0.3254204</v>
      </c>
      <c r="P116" s="227">
        <v>-1.1453854999999999</v>
      </c>
      <c r="Q116" s="227">
        <v>0.2920354</v>
      </c>
      <c r="R116" s="227">
        <v>0.69151706000000002</v>
      </c>
      <c r="S116" s="227">
        <v>1</v>
      </c>
      <c r="T116" s="227">
        <v>3752</v>
      </c>
      <c r="U116" s="227" t="s">
        <v>2022</v>
      </c>
    </row>
    <row r="117" spans="1:21" x14ac:dyDescent="0.25">
      <c r="A117" t="s">
        <v>2023</v>
      </c>
      <c r="B117">
        <v>19</v>
      </c>
      <c r="C117">
        <v>-0.36849752000000002</v>
      </c>
      <c r="D117">
        <v>-1.1431613</v>
      </c>
      <c r="E117">
        <v>0.27272728000000002</v>
      </c>
      <c r="F117">
        <v>0.69094646000000004</v>
      </c>
      <c r="G117">
        <v>1</v>
      </c>
      <c r="H117">
        <v>2340</v>
      </c>
      <c r="I117" t="s">
        <v>2024</v>
      </c>
      <c r="M117" s="227" t="s">
        <v>2023</v>
      </c>
      <c r="N117" s="227">
        <v>19</v>
      </c>
      <c r="O117" s="227">
        <v>-0.36849752000000002</v>
      </c>
      <c r="P117" s="227">
        <v>-1.1431613</v>
      </c>
      <c r="Q117" s="227">
        <v>0.27272728000000002</v>
      </c>
      <c r="R117" s="227">
        <v>0.69094646000000004</v>
      </c>
      <c r="S117" s="227">
        <v>1</v>
      </c>
      <c r="T117" s="227">
        <v>2340</v>
      </c>
      <c r="U117" s="227" t="s">
        <v>2024</v>
      </c>
    </row>
    <row r="118" spans="1:21" x14ac:dyDescent="0.25">
      <c r="A118" t="s">
        <v>2025</v>
      </c>
      <c r="B118">
        <v>39</v>
      </c>
      <c r="C118">
        <v>-0.31117531999999998</v>
      </c>
      <c r="D118">
        <v>-1.132941</v>
      </c>
      <c r="E118">
        <v>0.28483605000000001</v>
      </c>
      <c r="F118">
        <v>0.71153750000000004</v>
      </c>
      <c r="G118">
        <v>1</v>
      </c>
      <c r="H118">
        <v>3343</v>
      </c>
      <c r="I118" t="s">
        <v>2026</v>
      </c>
      <c r="M118" s="227" t="s">
        <v>2025</v>
      </c>
      <c r="N118" s="227">
        <v>39</v>
      </c>
      <c r="O118" s="227">
        <v>-0.31117531999999998</v>
      </c>
      <c r="P118" s="227">
        <v>-1.132941</v>
      </c>
      <c r="Q118" s="227">
        <v>0.28483605000000001</v>
      </c>
      <c r="R118" s="227">
        <v>0.71153750000000004</v>
      </c>
      <c r="S118" s="227">
        <v>1</v>
      </c>
      <c r="T118" s="227">
        <v>3343</v>
      </c>
      <c r="U118" s="227" t="s">
        <v>2026</v>
      </c>
    </row>
    <row r="119" spans="1:21" x14ac:dyDescent="0.25">
      <c r="A119" t="s">
        <v>2027</v>
      </c>
      <c r="B119">
        <v>299</v>
      </c>
      <c r="C119">
        <v>-0.28160784</v>
      </c>
      <c r="D119">
        <v>-1.1237025</v>
      </c>
      <c r="E119">
        <v>0.34328360000000002</v>
      </c>
      <c r="F119">
        <v>0.72869110000000004</v>
      </c>
      <c r="G119">
        <v>1</v>
      </c>
      <c r="H119">
        <v>3572</v>
      </c>
      <c r="I119" t="s">
        <v>2028</v>
      </c>
      <c r="M119" s="227" t="s">
        <v>2027</v>
      </c>
      <c r="N119" s="227">
        <v>299</v>
      </c>
      <c r="O119" s="227">
        <v>-0.28160784</v>
      </c>
      <c r="P119" s="227">
        <v>-1.1237025</v>
      </c>
      <c r="Q119" s="227">
        <v>0.34328360000000002</v>
      </c>
      <c r="R119" s="227">
        <v>0.72869110000000004</v>
      </c>
      <c r="S119" s="227">
        <v>1</v>
      </c>
      <c r="T119" s="227">
        <v>3572</v>
      </c>
      <c r="U119" s="227" t="s">
        <v>2028</v>
      </c>
    </row>
    <row r="120" spans="1:21" x14ac:dyDescent="0.25">
      <c r="A120" t="s">
        <v>2029</v>
      </c>
      <c r="B120">
        <v>18</v>
      </c>
      <c r="C120">
        <v>-0.45584967999999998</v>
      </c>
      <c r="D120">
        <v>-1.1154454</v>
      </c>
      <c r="E120">
        <v>0.36497889999999999</v>
      </c>
      <c r="F120">
        <v>0.74416689999999996</v>
      </c>
      <c r="G120">
        <v>1</v>
      </c>
      <c r="H120">
        <v>5320</v>
      </c>
      <c r="I120" t="s">
        <v>2030</v>
      </c>
      <c r="M120" s="227" t="s">
        <v>2029</v>
      </c>
      <c r="N120" s="227">
        <v>18</v>
      </c>
      <c r="O120" s="227">
        <v>-0.45584967999999998</v>
      </c>
      <c r="P120" s="227">
        <v>-1.1154454</v>
      </c>
      <c r="Q120" s="227">
        <v>0.36497889999999999</v>
      </c>
      <c r="R120" s="227">
        <v>0.74416689999999996</v>
      </c>
      <c r="S120" s="227">
        <v>1</v>
      </c>
      <c r="T120" s="227">
        <v>5320</v>
      </c>
      <c r="U120" s="227" t="s">
        <v>2030</v>
      </c>
    </row>
    <row r="121" spans="1:21" x14ac:dyDescent="0.25">
      <c r="A121" t="s">
        <v>2031</v>
      </c>
      <c r="B121">
        <v>16</v>
      </c>
      <c r="C121">
        <v>-0.43786466000000002</v>
      </c>
      <c r="D121">
        <v>-1.1087273</v>
      </c>
      <c r="E121">
        <v>0.3566879</v>
      </c>
      <c r="F121">
        <v>0.75553599999999999</v>
      </c>
      <c r="G121">
        <v>1</v>
      </c>
      <c r="H121">
        <v>5320</v>
      </c>
      <c r="I121" t="s">
        <v>2032</v>
      </c>
      <c r="M121" s="227" t="s">
        <v>2031</v>
      </c>
      <c r="N121" s="227">
        <v>16</v>
      </c>
      <c r="O121" s="227">
        <v>-0.43786466000000002</v>
      </c>
      <c r="P121" s="227">
        <v>-1.1087273</v>
      </c>
      <c r="Q121" s="227">
        <v>0.3566879</v>
      </c>
      <c r="R121" s="227">
        <v>0.75553599999999999</v>
      </c>
      <c r="S121" s="227">
        <v>1</v>
      </c>
      <c r="T121" s="227">
        <v>5320</v>
      </c>
      <c r="U121" s="227" t="s">
        <v>2032</v>
      </c>
    </row>
    <row r="122" spans="1:21" x14ac:dyDescent="0.25">
      <c r="A122" t="s">
        <v>2033</v>
      </c>
      <c r="B122">
        <v>46</v>
      </c>
      <c r="C122">
        <v>-0.38228877999999999</v>
      </c>
      <c r="D122">
        <v>-1.1043468999999999</v>
      </c>
      <c r="E122">
        <v>0.3706721</v>
      </c>
      <c r="F122">
        <v>0.76031320000000002</v>
      </c>
      <c r="G122">
        <v>1</v>
      </c>
      <c r="H122">
        <v>3462</v>
      </c>
      <c r="I122" t="s">
        <v>2034</v>
      </c>
      <c r="M122" s="227" t="s">
        <v>2033</v>
      </c>
      <c r="N122" s="227">
        <v>46</v>
      </c>
      <c r="O122" s="227">
        <v>-0.38228877999999999</v>
      </c>
      <c r="P122" s="227">
        <v>-1.1043468999999999</v>
      </c>
      <c r="Q122" s="227">
        <v>0.3706721</v>
      </c>
      <c r="R122" s="227">
        <v>0.76031320000000002</v>
      </c>
      <c r="S122" s="227">
        <v>1</v>
      </c>
      <c r="T122" s="227">
        <v>3462</v>
      </c>
      <c r="U122" s="227" t="s">
        <v>2034</v>
      </c>
    </row>
    <row r="123" spans="1:21" x14ac:dyDescent="0.25">
      <c r="A123" t="s">
        <v>2035</v>
      </c>
      <c r="B123">
        <v>46</v>
      </c>
      <c r="C123">
        <v>-0.38228877999999999</v>
      </c>
      <c r="D123">
        <v>-1.1043468999999999</v>
      </c>
      <c r="E123">
        <v>0.3706721</v>
      </c>
      <c r="F123">
        <v>0.75402959999999997</v>
      </c>
      <c r="G123">
        <v>1</v>
      </c>
      <c r="H123">
        <v>3462</v>
      </c>
      <c r="I123" t="s">
        <v>2034</v>
      </c>
      <c r="M123" s="227" t="s">
        <v>2035</v>
      </c>
      <c r="N123" s="227">
        <v>46</v>
      </c>
      <c r="O123" s="227">
        <v>-0.38228877999999999</v>
      </c>
      <c r="P123" s="227">
        <v>-1.1043468999999999</v>
      </c>
      <c r="Q123" s="227">
        <v>0.3706721</v>
      </c>
      <c r="R123" s="227">
        <v>0.75402959999999997</v>
      </c>
      <c r="S123" s="227">
        <v>1</v>
      </c>
      <c r="T123" s="227">
        <v>3462</v>
      </c>
      <c r="U123" s="227" t="s">
        <v>2034</v>
      </c>
    </row>
    <row r="124" spans="1:21" x14ac:dyDescent="0.25">
      <c r="A124" t="s">
        <v>2036</v>
      </c>
      <c r="B124">
        <v>18</v>
      </c>
      <c r="C124">
        <v>-0.35653590000000002</v>
      </c>
      <c r="D124">
        <v>-1.1022519</v>
      </c>
      <c r="E124">
        <v>0.31936126999999997</v>
      </c>
      <c r="F124">
        <v>0.75352806000000006</v>
      </c>
      <c r="G124">
        <v>1</v>
      </c>
      <c r="H124">
        <v>1066</v>
      </c>
      <c r="I124" t="s">
        <v>2037</v>
      </c>
      <c r="M124" s="227" t="s">
        <v>2036</v>
      </c>
      <c r="N124" s="227">
        <v>18</v>
      </c>
      <c r="O124" s="227">
        <v>-0.35653590000000002</v>
      </c>
      <c r="P124" s="227">
        <v>-1.1022519</v>
      </c>
      <c r="Q124" s="227">
        <v>0.31936126999999997</v>
      </c>
      <c r="R124" s="227">
        <v>0.75352806000000006</v>
      </c>
      <c r="S124" s="227">
        <v>1</v>
      </c>
      <c r="T124" s="227">
        <v>1066</v>
      </c>
      <c r="U124" s="227" t="s">
        <v>2037</v>
      </c>
    </row>
    <row r="125" spans="1:21" x14ac:dyDescent="0.25">
      <c r="A125" t="s">
        <v>2038</v>
      </c>
      <c r="B125">
        <v>16</v>
      </c>
      <c r="C125">
        <v>-0.37327513000000001</v>
      </c>
      <c r="D125">
        <v>-1.0916707999999999</v>
      </c>
      <c r="E125">
        <v>0.34677419999999998</v>
      </c>
      <c r="F125">
        <v>0.77552706000000005</v>
      </c>
      <c r="G125">
        <v>1</v>
      </c>
      <c r="H125">
        <v>1433</v>
      </c>
      <c r="I125" t="s">
        <v>2039</v>
      </c>
      <c r="M125" s="227" t="s">
        <v>2038</v>
      </c>
      <c r="N125" s="227">
        <v>16</v>
      </c>
      <c r="O125" s="227">
        <v>-0.37327513000000001</v>
      </c>
      <c r="P125" s="227">
        <v>-1.0916707999999999</v>
      </c>
      <c r="Q125" s="227">
        <v>0.34677419999999998</v>
      </c>
      <c r="R125" s="227">
        <v>0.77552706000000005</v>
      </c>
      <c r="S125" s="227">
        <v>1</v>
      </c>
      <c r="T125" s="227">
        <v>1433</v>
      </c>
      <c r="U125" s="227" t="s">
        <v>2039</v>
      </c>
    </row>
    <row r="126" spans="1:21" x14ac:dyDescent="0.25">
      <c r="A126" t="s">
        <v>2040</v>
      </c>
      <c r="B126">
        <v>16</v>
      </c>
      <c r="C126">
        <v>-0.39663651999999999</v>
      </c>
      <c r="D126">
        <v>-1.0846001000000001</v>
      </c>
      <c r="E126">
        <v>0.37875750000000002</v>
      </c>
      <c r="F126">
        <v>0.78863329999999998</v>
      </c>
      <c r="G126">
        <v>1</v>
      </c>
      <c r="H126">
        <v>2049</v>
      </c>
      <c r="I126" t="s">
        <v>2018</v>
      </c>
      <c r="M126" s="227" t="s">
        <v>2040</v>
      </c>
      <c r="N126" s="227">
        <v>16</v>
      </c>
      <c r="O126" s="227">
        <v>-0.39663651999999999</v>
      </c>
      <c r="P126" s="227">
        <v>-1.0846001000000001</v>
      </c>
      <c r="Q126" s="227">
        <v>0.37875750000000002</v>
      </c>
      <c r="R126" s="227">
        <v>0.78863329999999998</v>
      </c>
      <c r="S126" s="227">
        <v>1</v>
      </c>
      <c r="T126" s="227">
        <v>2049</v>
      </c>
      <c r="U126" s="227" t="s">
        <v>2018</v>
      </c>
    </row>
    <row r="127" spans="1:21" x14ac:dyDescent="0.25">
      <c r="A127" t="s">
        <v>2041</v>
      </c>
      <c r="B127">
        <v>197</v>
      </c>
      <c r="C127">
        <v>-0.2262979</v>
      </c>
      <c r="D127">
        <v>-1.0841676</v>
      </c>
      <c r="E127">
        <v>0.32484075000000001</v>
      </c>
      <c r="F127">
        <v>0.78351592999999997</v>
      </c>
      <c r="G127">
        <v>1</v>
      </c>
      <c r="H127">
        <v>4179</v>
      </c>
      <c r="I127" t="s">
        <v>2042</v>
      </c>
      <c r="M127" s="227" t="s">
        <v>2041</v>
      </c>
      <c r="N127" s="227">
        <v>197</v>
      </c>
      <c r="O127" s="227">
        <v>-0.2262979</v>
      </c>
      <c r="P127" s="227">
        <v>-1.0841676</v>
      </c>
      <c r="Q127" s="227">
        <v>0.32484075000000001</v>
      </c>
      <c r="R127" s="227">
        <v>0.78351592999999997</v>
      </c>
      <c r="S127" s="227">
        <v>1</v>
      </c>
      <c r="T127" s="227">
        <v>4179</v>
      </c>
      <c r="U127" s="227" t="s">
        <v>2042</v>
      </c>
    </row>
    <row r="128" spans="1:21" x14ac:dyDescent="0.25">
      <c r="A128" t="s">
        <v>2043</v>
      </c>
      <c r="B128">
        <v>30</v>
      </c>
      <c r="C128">
        <v>-0.30960145999999999</v>
      </c>
      <c r="D128">
        <v>-1.0790443000000001</v>
      </c>
      <c r="E128">
        <v>0.31385281999999998</v>
      </c>
      <c r="F128">
        <v>0.79101889999999997</v>
      </c>
      <c r="G128">
        <v>1</v>
      </c>
      <c r="H128">
        <v>3128</v>
      </c>
      <c r="I128" t="s">
        <v>2044</v>
      </c>
      <c r="M128" s="227" t="s">
        <v>2043</v>
      </c>
      <c r="N128" s="227">
        <v>30</v>
      </c>
      <c r="O128" s="227">
        <v>-0.30960145999999999</v>
      </c>
      <c r="P128" s="227">
        <v>-1.0790443000000001</v>
      </c>
      <c r="Q128" s="227">
        <v>0.31385281999999998</v>
      </c>
      <c r="R128" s="227">
        <v>0.79101889999999997</v>
      </c>
      <c r="S128" s="227">
        <v>1</v>
      </c>
      <c r="T128" s="227">
        <v>3128</v>
      </c>
      <c r="U128" s="227" t="s">
        <v>2044</v>
      </c>
    </row>
    <row r="129" spans="1:21" x14ac:dyDescent="0.25">
      <c r="A129" t="s">
        <v>2045</v>
      </c>
      <c r="B129">
        <v>66</v>
      </c>
      <c r="C129">
        <v>-0.2412272</v>
      </c>
      <c r="D129">
        <v>-1.0718989000000001</v>
      </c>
      <c r="E129">
        <v>0.30196938000000001</v>
      </c>
      <c r="F129">
        <v>0.80336189999999996</v>
      </c>
      <c r="G129">
        <v>1</v>
      </c>
      <c r="H129">
        <v>3254</v>
      </c>
      <c r="I129" t="s">
        <v>2046</v>
      </c>
      <c r="M129" s="227" t="s">
        <v>2045</v>
      </c>
      <c r="N129" s="227">
        <v>66</v>
      </c>
      <c r="O129" s="227">
        <v>-0.2412272</v>
      </c>
      <c r="P129" s="227">
        <v>-1.0718989000000001</v>
      </c>
      <c r="Q129" s="227">
        <v>0.30196938000000001</v>
      </c>
      <c r="R129" s="227">
        <v>0.80336189999999996</v>
      </c>
      <c r="S129" s="227">
        <v>1</v>
      </c>
      <c r="T129" s="227">
        <v>3254</v>
      </c>
      <c r="U129" s="227" t="s">
        <v>2046</v>
      </c>
    </row>
    <row r="130" spans="1:21" x14ac:dyDescent="0.25">
      <c r="A130" t="s">
        <v>2047</v>
      </c>
      <c r="B130">
        <v>42</v>
      </c>
      <c r="C130">
        <v>-0.27515020000000001</v>
      </c>
      <c r="D130">
        <v>-1.0695657999999999</v>
      </c>
      <c r="E130">
        <v>0.35698922999999999</v>
      </c>
      <c r="F130">
        <v>0.80345290000000003</v>
      </c>
      <c r="G130">
        <v>1</v>
      </c>
      <c r="H130">
        <v>3877</v>
      </c>
      <c r="I130" t="s">
        <v>2048</v>
      </c>
      <c r="M130" s="227" t="s">
        <v>2047</v>
      </c>
      <c r="N130" s="227">
        <v>42</v>
      </c>
      <c r="O130" s="227">
        <v>-0.27515020000000001</v>
      </c>
      <c r="P130" s="227">
        <v>-1.0695657999999999</v>
      </c>
      <c r="Q130" s="227">
        <v>0.35698922999999999</v>
      </c>
      <c r="R130" s="227">
        <v>0.80345290000000003</v>
      </c>
      <c r="S130" s="227">
        <v>1</v>
      </c>
      <c r="T130" s="227">
        <v>3877</v>
      </c>
      <c r="U130" s="227" t="s">
        <v>2048</v>
      </c>
    </row>
    <row r="131" spans="1:21" x14ac:dyDescent="0.25">
      <c r="A131" t="s">
        <v>2049</v>
      </c>
      <c r="B131">
        <v>38</v>
      </c>
      <c r="C131">
        <v>-0.33251900000000001</v>
      </c>
      <c r="D131">
        <v>-1.0679508</v>
      </c>
      <c r="E131">
        <v>0.37945494000000002</v>
      </c>
      <c r="F131">
        <v>0.80144040000000005</v>
      </c>
      <c r="G131">
        <v>1</v>
      </c>
      <c r="H131">
        <v>3131</v>
      </c>
      <c r="I131" t="s">
        <v>2050</v>
      </c>
      <c r="M131" s="227" t="s">
        <v>2049</v>
      </c>
      <c r="N131" s="227">
        <v>38</v>
      </c>
      <c r="O131" s="227">
        <v>-0.33251900000000001</v>
      </c>
      <c r="P131" s="227">
        <v>-1.0679508</v>
      </c>
      <c r="Q131" s="227">
        <v>0.37945494000000002</v>
      </c>
      <c r="R131" s="227">
        <v>0.80144040000000005</v>
      </c>
      <c r="S131" s="227">
        <v>1</v>
      </c>
      <c r="T131" s="227">
        <v>3131</v>
      </c>
      <c r="U131" s="227" t="s">
        <v>2050</v>
      </c>
    </row>
    <row r="132" spans="1:21" x14ac:dyDescent="0.25">
      <c r="A132" t="s">
        <v>2051</v>
      </c>
      <c r="B132">
        <v>15</v>
      </c>
      <c r="C132">
        <v>-0.36326740000000002</v>
      </c>
      <c r="D132">
        <v>-1.0601430999999999</v>
      </c>
      <c r="E132">
        <v>0.40085290000000001</v>
      </c>
      <c r="F132">
        <v>0.81603570000000003</v>
      </c>
      <c r="G132">
        <v>1</v>
      </c>
      <c r="H132">
        <v>3563</v>
      </c>
      <c r="I132" t="s">
        <v>2052</v>
      </c>
      <c r="M132" s="227" t="s">
        <v>2051</v>
      </c>
      <c r="N132" s="227">
        <v>15</v>
      </c>
      <c r="O132" s="227">
        <v>-0.36326740000000002</v>
      </c>
      <c r="P132" s="227">
        <v>-1.0601430999999999</v>
      </c>
      <c r="Q132" s="227">
        <v>0.40085290000000001</v>
      </c>
      <c r="R132" s="227">
        <v>0.81603570000000003</v>
      </c>
      <c r="S132" s="227">
        <v>1</v>
      </c>
      <c r="T132" s="227">
        <v>3563</v>
      </c>
      <c r="U132" s="227" t="s">
        <v>2052</v>
      </c>
    </row>
    <row r="133" spans="1:21" x14ac:dyDescent="0.25">
      <c r="A133" t="s">
        <v>2053</v>
      </c>
      <c r="B133">
        <v>72</v>
      </c>
      <c r="C133">
        <v>-0.25720285999999998</v>
      </c>
      <c r="D133">
        <v>-1.0518266999999999</v>
      </c>
      <c r="E133">
        <v>0.35546038000000002</v>
      </c>
      <c r="F133">
        <v>0.83192765999999996</v>
      </c>
      <c r="G133">
        <v>1</v>
      </c>
      <c r="H133">
        <v>2732</v>
      </c>
      <c r="I133" t="s">
        <v>2054</v>
      </c>
      <c r="M133" s="227" t="s">
        <v>2053</v>
      </c>
      <c r="N133" s="227">
        <v>72</v>
      </c>
      <c r="O133" s="227">
        <v>-0.25720285999999998</v>
      </c>
      <c r="P133" s="227">
        <v>-1.0518266999999999</v>
      </c>
      <c r="Q133" s="227">
        <v>0.35546038000000002</v>
      </c>
      <c r="R133" s="227">
        <v>0.83192765999999996</v>
      </c>
      <c r="S133" s="227">
        <v>1</v>
      </c>
      <c r="T133" s="227">
        <v>2732</v>
      </c>
      <c r="U133" s="227" t="s">
        <v>2054</v>
      </c>
    </row>
    <row r="134" spans="1:21" x14ac:dyDescent="0.25">
      <c r="A134" t="s">
        <v>2055</v>
      </c>
      <c r="B134">
        <v>88</v>
      </c>
      <c r="C134">
        <v>-0.24507514</v>
      </c>
      <c r="D134">
        <v>-1.0314348</v>
      </c>
      <c r="E134">
        <v>0.39085239999999999</v>
      </c>
      <c r="F134">
        <v>0.88108534000000005</v>
      </c>
      <c r="G134">
        <v>1</v>
      </c>
      <c r="H134">
        <v>2732</v>
      </c>
      <c r="I134" t="s">
        <v>2056</v>
      </c>
      <c r="M134" s="227" t="s">
        <v>2055</v>
      </c>
      <c r="N134" s="227">
        <v>88</v>
      </c>
      <c r="O134" s="227">
        <v>-0.24507514</v>
      </c>
      <c r="P134" s="227">
        <v>-1.0314348</v>
      </c>
      <c r="Q134" s="227">
        <v>0.39085239999999999</v>
      </c>
      <c r="R134" s="227">
        <v>0.88108534000000005</v>
      </c>
      <c r="S134" s="227">
        <v>1</v>
      </c>
      <c r="T134" s="227">
        <v>2732</v>
      </c>
      <c r="U134" s="227" t="s">
        <v>2056</v>
      </c>
    </row>
    <row r="135" spans="1:21" x14ac:dyDescent="0.25">
      <c r="A135" t="s">
        <v>2057</v>
      </c>
      <c r="B135">
        <v>119</v>
      </c>
      <c r="C135">
        <v>-0.23774558000000001</v>
      </c>
      <c r="D135">
        <v>-1.0306854000000001</v>
      </c>
      <c r="E135">
        <v>0.41614908</v>
      </c>
      <c r="F135">
        <v>0.87652339999999995</v>
      </c>
      <c r="G135">
        <v>1</v>
      </c>
      <c r="H135">
        <v>3521</v>
      </c>
      <c r="I135" t="s">
        <v>2058</v>
      </c>
      <c r="M135" s="227" t="s">
        <v>2057</v>
      </c>
      <c r="N135" s="227">
        <v>119</v>
      </c>
      <c r="O135" s="227">
        <v>-0.23774558000000001</v>
      </c>
      <c r="P135" s="227">
        <v>-1.0306854000000001</v>
      </c>
      <c r="Q135" s="227">
        <v>0.41614908</v>
      </c>
      <c r="R135" s="227">
        <v>0.87652339999999995</v>
      </c>
      <c r="S135" s="227">
        <v>1</v>
      </c>
      <c r="T135" s="227">
        <v>3521</v>
      </c>
      <c r="U135" s="227" t="s">
        <v>2058</v>
      </c>
    </row>
    <row r="136" spans="1:21" x14ac:dyDescent="0.25">
      <c r="A136" t="s">
        <v>2059</v>
      </c>
      <c r="B136">
        <v>81</v>
      </c>
      <c r="C136">
        <v>-0.26247092999999999</v>
      </c>
      <c r="D136">
        <v>-1.0146736999999999</v>
      </c>
      <c r="E136">
        <v>0.43186584</v>
      </c>
      <c r="F136">
        <v>0.91452520000000004</v>
      </c>
      <c r="G136">
        <v>1</v>
      </c>
      <c r="H136">
        <v>4068</v>
      </c>
      <c r="I136" t="s">
        <v>2060</v>
      </c>
      <c r="M136" s="227" t="s">
        <v>2059</v>
      </c>
      <c r="N136" s="227">
        <v>81</v>
      </c>
      <c r="O136" s="227">
        <v>-0.26247092999999999</v>
      </c>
      <c r="P136" s="227">
        <v>-1.0146736999999999</v>
      </c>
      <c r="Q136" s="227">
        <v>0.43186584</v>
      </c>
      <c r="R136" s="227">
        <v>0.91452520000000004</v>
      </c>
      <c r="S136" s="227">
        <v>1</v>
      </c>
      <c r="T136" s="227">
        <v>4068</v>
      </c>
      <c r="U136" s="227" t="s">
        <v>2060</v>
      </c>
    </row>
    <row r="137" spans="1:21" x14ac:dyDescent="0.25">
      <c r="A137" t="s">
        <v>2061</v>
      </c>
      <c r="B137">
        <v>31</v>
      </c>
      <c r="C137">
        <v>-0.30109261999999998</v>
      </c>
      <c r="D137">
        <v>-1.0108994</v>
      </c>
      <c r="E137">
        <v>0.43032786000000001</v>
      </c>
      <c r="F137">
        <v>0.91834663999999999</v>
      </c>
      <c r="G137">
        <v>1</v>
      </c>
      <c r="H137">
        <v>3247</v>
      </c>
      <c r="I137" t="s">
        <v>2062</v>
      </c>
      <c r="M137" s="227" t="s">
        <v>2061</v>
      </c>
      <c r="N137" s="227">
        <v>31</v>
      </c>
      <c r="O137" s="227">
        <v>-0.30109261999999998</v>
      </c>
      <c r="P137" s="227">
        <v>-1.0108994</v>
      </c>
      <c r="Q137" s="227">
        <v>0.43032786000000001</v>
      </c>
      <c r="R137" s="227">
        <v>0.91834663999999999</v>
      </c>
      <c r="S137" s="227">
        <v>1</v>
      </c>
      <c r="T137" s="227">
        <v>3247</v>
      </c>
      <c r="U137" s="227" t="s">
        <v>2062</v>
      </c>
    </row>
    <row r="138" spans="1:21" x14ac:dyDescent="0.25">
      <c r="A138" t="s">
        <v>2063</v>
      </c>
      <c r="B138">
        <v>49</v>
      </c>
      <c r="C138">
        <v>-0.26923507000000002</v>
      </c>
      <c r="D138">
        <v>-1.0093193</v>
      </c>
      <c r="E138">
        <v>0.41983122</v>
      </c>
      <c r="F138">
        <v>0.91588510000000001</v>
      </c>
      <c r="G138">
        <v>1</v>
      </c>
      <c r="H138">
        <v>2797</v>
      </c>
      <c r="I138" t="s">
        <v>2064</v>
      </c>
      <c r="M138" s="227" t="s">
        <v>2063</v>
      </c>
      <c r="N138" s="227">
        <v>49</v>
      </c>
      <c r="O138" s="227">
        <v>-0.26923507000000002</v>
      </c>
      <c r="P138" s="227">
        <v>-1.0093193</v>
      </c>
      <c r="Q138" s="227">
        <v>0.41983122</v>
      </c>
      <c r="R138" s="227">
        <v>0.91588510000000001</v>
      </c>
      <c r="S138" s="227">
        <v>1</v>
      </c>
      <c r="T138" s="227">
        <v>2797</v>
      </c>
      <c r="U138" s="227" t="s">
        <v>2064</v>
      </c>
    </row>
    <row r="139" spans="1:21" x14ac:dyDescent="0.25">
      <c r="A139" t="s">
        <v>2065</v>
      </c>
      <c r="B139">
        <v>21</v>
      </c>
      <c r="C139">
        <v>-0.31736186</v>
      </c>
      <c r="D139">
        <v>-1.0078187000000001</v>
      </c>
      <c r="E139">
        <v>0.45031710000000003</v>
      </c>
      <c r="F139">
        <v>0.91349570000000002</v>
      </c>
      <c r="G139">
        <v>1</v>
      </c>
      <c r="H139">
        <v>4778</v>
      </c>
      <c r="I139" t="s">
        <v>2066</v>
      </c>
      <c r="M139" s="227" t="s">
        <v>2065</v>
      </c>
      <c r="N139" s="227">
        <v>21</v>
      </c>
      <c r="O139" s="227">
        <v>-0.31736186</v>
      </c>
      <c r="P139" s="227">
        <v>-1.0078187000000001</v>
      </c>
      <c r="Q139" s="227">
        <v>0.45031710000000003</v>
      </c>
      <c r="R139" s="227">
        <v>0.91349570000000002</v>
      </c>
      <c r="S139" s="227">
        <v>1</v>
      </c>
      <c r="T139" s="227">
        <v>4778</v>
      </c>
      <c r="U139" s="227" t="s">
        <v>2066</v>
      </c>
    </row>
    <row r="140" spans="1:21" x14ac:dyDescent="0.25">
      <c r="A140" t="s">
        <v>2067</v>
      </c>
      <c r="B140">
        <v>16</v>
      </c>
      <c r="C140">
        <v>-0.36514506000000002</v>
      </c>
      <c r="D140">
        <v>-1.0064706999999999</v>
      </c>
      <c r="E140">
        <v>0.43319839999999998</v>
      </c>
      <c r="F140">
        <v>0.91066736000000004</v>
      </c>
      <c r="G140">
        <v>1</v>
      </c>
      <c r="H140">
        <v>2737</v>
      </c>
      <c r="I140" t="s">
        <v>2068</v>
      </c>
      <c r="M140" s="227" t="s">
        <v>2067</v>
      </c>
      <c r="N140" s="227">
        <v>16</v>
      </c>
      <c r="O140" s="227">
        <v>-0.36514506000000002</v>
      </c>
      <c r="P140" s="227">
        <v>-1.0064706999999999</v>
      </c>
      <c r="Q140" s="227">
        <v>0.43319839999999998</v>
      </c>
      <c r="R140" s="227">
        <v>0.91066736000000004</v>
      </c>
      <c r="S140" s="227">
        <v>1</v>
      </c>
      <c r="T140" s="227">
        <v>2737</v>
      </c>
      <c r="U140" s="227" t="s">
        <v>2068</v>
      </c>
    </row>
    <row r="141" spans="1:21" x14ac:dyDescent="0.25">
      <c r="A141" t="s">
        <v>2069</v>
      </c>
      <c r="B141">
        <v>51</v>
      </c>
      <c r="C141">
        <v>-0.26501015</v>
      </c>
      <c r="D141">
        <v>-1.0020431000000001</v>
      </c>
      <c r="E141">
        <v>0.41841002999999999</v>
      </c>
      <c r="F141">
        <v>0.91600470000000001</v>
      </c>
      <c r="G141">
        <v>1</v>
      </c>
      <c r="H141">
        <v>2797</v>
      </c>
      <c r="I141" t="s">
        <v>2070</v>
      </c>
      <c r="M141" s="227" t="s">
        <v>2069</v>
      </c>
      <c r="N141" s="227">
        <v>51</v>
      </c>
      <c r="O141" s="227">
        <v>-0.26501015</v>
      </c>
      <c r="P141" s="227">
        <v>-1.0020431000000001</v>
      </c>
      <c r="Q141" s="227">
        <v>0.41841002999999999</v>
      </c>
      <c r="R141" s="227">
        <v>0.91600470000000001</v>
      </c>
      <c r="S141" s="227">
        <v>1</v>
      </c>
      <c r="T141" s="227">
        <v>2797</v>
      </c>
      <c r="U141" s="227" t="s">
        <v>2070</v>
      </c>
    </row>
    <row r="142" spans="1:21" x14ac:dyDescent="0.25">
      <c r="A142" t="s">
        <v>2071</v>
      </c>
      <c r="B142">
        <v>47</v>
      </c>
      <c r="C142">
        <v>-0.26121178</v>
      </c>
      <c r="D142">
        <v>-1.0015824</v>
      </c>
      <c r="E142">
        <v>0.45416667999999999</v>
      </c>
      <c r="F142">
        <v>0.91076769999999996</v>
      </c>
      <c r="G142">
        <v>1</v>
      </c>
      <c r="H142">
        <v>3343</v>
      </c>
      <c r="I142" t="s">
        <v>2072</v>
      </c>
      <c r="M142" s="227" t="s">
        <v>2071</v>
      </c>
      <c r="N142" s="227">
        <v>47</v>
      </c>
      <c r="O142" s="227">
        <v>-0.26121178</v>
      </c>
      <c r="P142" s="227">
        <v>-1.0015824</v>
      </c>
      <c r="Q142" s="227">
        <v>0.45416667999999999</v>
      </c>
      <c r="R142" s="227">
        <v>0.91076769999999996</v>
      </c>
      <c r="S142" s="227">
        <v>1</v>
      </c>
      <c r="T142" s="227">
        <v>3343</v>
      </c>
      <c r="U142" s="227" t="s">
        <v>2072</v>
      </c>
    </row>
    <row r="143" spans="1:21" x14ac:dyDescent="0.25">
      <c r="A143" t="s">
        <v>2073</v>
      </c>
      <c r="B143">
        <v>58</v>
      </c>
      <c r="C143">
        <v>-0.23437021999999999</v>
      </c>
      <c r="D143">
        <v>-0.99962443000000001</v>
      </c>
      <c r="E143">
        <v>0.44372293000000002</v>
      </c>
      <c r="F143">
        <v>0.90966190000000002</v>
      </c>
      <c r="G143">
        <v>1</v>
      </c>
      <c r="H143">
        <v>3242</v>
      </c>
      <c r="I143" t="s">
        <v>2074</v>
      </c>
      <c r="M143" s="227" t="s">
        <v>2073</v>
      </c>
      <c r="N143" s="227">
        <v>58</v>
      </c>
      <c r="O143" s="227">
        <v>-0.23437021999999999</v>
      </c>
      <c r="P143" s="227">
        <v>-0.99962443000000001</v>
      </c>
      <c r="Q143" s="227">
        <v>0.44372293000000002</v>
      </c>
      <c r="R143" s="227">
        <v>0.90966190000000002</v>
      </c>
      <c r="S143" s="227">
        <v>1</v>
      </c>
      <c r="T143" s="227">
        <v>3242</v>
      </c>
      <c r="U143" s="227" t="s">
        <v>2074</v>
      </c>
    </row>
    <row r="144" spans="1:21" x14ac:dyDescent="0.25">
      <c r="A144" t="s">
        <v>2075</v>
      </c>
      <c r="B144">
        <v>15</v>
      </c>
      <c r="C144">
        <v>-0.36284362999999997</v>
      </c>
      <c r="D144">
        <v>-0.99903160000000002</v>
      </c>
      <c r="E144">
        <v>0.45473682999999998</v>
      </c>
      <c r="F144">
        <v>0.90481889999999998</v>
      </c>
      <c r="G144">
        <v>1</v>
      </c>
      <c r="H144">
        <v>2077</v>
      </c>
      <c r="I144" t="s">
        <v>2076</v>
      </c>
      <c r="M144" s="227" t="s">
        <v>2075</v>
      </c>
      <c r="N144" s="227">
        <v>15</v>
      </c>
      <c r="O144" s="227">
        <v>-0.36284362999999997</v>
      </c>
      <c r="P144" s="227">
        <v>-0.99903160000000002</v>
      </c>
      <c r="Q144" s="227">
        <v>0.45473682999999998</v>
      </c>
      <c r="R144" s="227">
        <v>0.90481889999999998</v>
      </c>
      <c r="S144" s="227">
        <v>1</v>
      </c>
      <c r="T144" s="227">
        <v>2077</v>
      </c>
      <c r="U144" s="227" t="s">
        <v>2076</v>
      </c>
    </row>
    <row r="145" spans="1:21" x14ac:dyDescent="0.25">
      <c r="A145" t="s">
        <v>2077</v>
      </c>
      <c r="B145">
        <v>105</v>
      </c>
      <c r="C145">
        <v>-0.24348046000000001</v>
      </c>
      <c r="D145">
        <v>-0.99897420000000003</v>
      </c>
      <c r="E145">
        <v>0.45414847000000003</v>
      </c>
      <c r="F145">
        <v>0.89861979999999997</v>
      </c>
      <c r="G145">
        <v>1</v>
      </c>
      <c r="H145">
        <v>3477</v>
      </c>
      <c r="I145" t="s">
        <v>2078</v>
      </c>
      <c r="M145" s="227" t="s">
        <v>2077</v>
      </c>
      <c r="N145" s="227">
        <v>105</v>
      </c>
      <c r="O145" s="227">
        <v>-0.24348046000000001</v>
      </c>
      <c r="P145" s="227">
        <v>-0.99897420000000003</v>
      </c>
      <c r="Q145" s="227">
        <v>0.45414847000000003</v>
      </c>
      <c r="R145" s="227">
        <v>0.89861979999999997</v>
      </c>
      <c r="S145" s="227">
        <v>1</v>
      </c>
      <c r="T145" s="227">
        <v>3477</v>
      </c>
      <c r="U145" s="227" t="s">
        <v>2078</v>
      </c>
    </row>
    <row r="146" spans="1:21" x14ac:dyDescent="0.25">
      <c r="A146" t="s">
        <v>2079</v>
      </c>
      <c r="B146">
        <v>17</v>
      </c>
      <c r="C146">
        <v>-0.32160524000000001</v>
      </c>
      <c r="D146">
        <v>-0.99604325999999999</v>
      </c>
      <c r="E146">
        <v>0.46848738000000001</v>
      </c>
      <c r="F146">
        <v>0.90028936000000004</v>
      </c>
      <c r="G146">
        <v>1</v>
      </c>
      <c r="H146">
        <v>905</v>
      </c>
      <c r="I146" t="s">
        <v>2080</v>
      </c>
      <c r="M146" s="227" t="s">
        <v>2079</v>
      </c>
      <c r="N146" s="227">
        <v>17</v>
      </c>
      <c r="O146" s="227">
        <v>-0.32160524000000001</v>
      </c>
      <c r="P146" s="227">
        <v>-0.99604325999999999</v>
      </c>
      <c r="Q146" s="227">
        <v>0.46848738000000001</v>
      </c>
      <c r="R146" s="227">
        <v>0.90028936000000004</v>
      </c>
      <c r="S146" s="227">
        <v>1</v>
      </c>
      <c r="T146" s="227">
        <v>905</v>
      </c>
      <c r="U146" s="227" t="s">
        <v>2080</v>
      </c>
    </row>
    <row r="147" spans="1:21" x14ac:dyDescent="0.25">
      <c r="A147" t="s">
        <v>2081</v>
      </c>
      <c r="B147">
        <v>15</v>
      </c>
      <c r="C147">
        <v>-0.32541366999999999</v>
      </c>
      <c r="D147">
        <v>-0.99481284999999997</v>
      </c>
      <c r="E147">
        <v>0.47835052</v>
      </c>
      <c r="F147">
        <v>0.89736943999999996</v>
      </c>
      <c r="G147">
        <v>1</v>
      </c>
      <c r="H147">
        <v>4626</v>
      </c>
      <c r="I147" t="s">
        <v>2082</v>
      </c>
      <c r="M147" s="227" t="s">
        <v>2081</v>
      </c>
      <c r="N147" s="227">
        <v>15</v>
      </c>
      <c r="O147" s="227">
        <v>-0.32541366999999999</v>
      </c>
      <c r="P147" s="227">
        <v>-0.99481284999999997</v>
      </c>
      <c r="Q147" s="227">
        <v>0.47835052</v>
      </c>
      <c r="R147" s="227">
        <v>0.89736943999999996</v>
      </c>
      <c r="S147" s="227">
        <v>1</v>
      </c>
      <c r="T147" s="227">
        <v>4626</v>
      </c>
      <c r="U147" s="227" t="s">
        <v>2082</v>
      </c>
    </row>
    <row r="148" spans="1:21" x14ac:dyDescent="0.25">
      <c r="A148" t="s">
        <v>2083</v>
      </c>
      <c r="B148">
        <v>40</v>
      </c>
      <c r="C148">
        <v>-0.3010834</v>
      </c>
      <c r="D148">
        <v>-0.9903653</v>
      </c>
      <c r="E148">
        <v>0.44834711999999999</v>
      </c>
      <c r="F148">
        <v>0.90324979999999999</v>
      </c>
      <c r="G148">
        <v>1</v>
      </c>
      <c r="H148">
        <v>3131</v>
      </c>
      <c r="I148" t="s">
        <v>2084</v>
      </c>
      <c r="M148" s="227" t="s">
        <v>2083</v>
      </c>
      <c r="N148" s="227">
        <v>40</v>
      </c>
      <c r="O148" s="227">
        <v>-0.3010834</v>
      </c>
      <c r="P148" s="227">
        <v>-0.9903653</v>
      </c>
      <c r="Q148" s="227">
        <v>0.44834711999999999</v>
      </c>
      <c r="R148" s="227">
        <v>0.90324979999999999</v>
      </c>
      <c r="S148" s="227">
        <v>1</v>
      </c>
      <c r="T148" s="227">
        <v>3131</v>
      </c>
      <c r="U148" s="227" t="s">
        <v>2084</v>
      </c>
    </row>
    <row r="149" spans="1:21" x14ac:dyDescent="0.25">
      <c r="A149" t="s">
        <v>2085</v>
      </c>
      <c r="B149">
        <v>17</v>
      </c>
      <c r="C149">
        <v>-0.32021806000000003</v>
      </c>
      <c r="D149">
        <v>-0.98570095999999996</v>
      </c>
      <c r="E149">
        <v>0.47708333000000003</v>
      </c>
      <c r="F149">
        <v>0.90993639999999998</v>
      </c>
      <c r="G149">
        <v>1</v>
      </c>
      <c r="H149">
        <v>1940</v>
      </c>
      <c r="I149" t="s">
        <v>2086</v>
      </c>
      <c r="M149" s="227" t="s">
        <v>2085</v>
      </c>
      <c r="N149" s="227">
        <v>17</v>
      </c>
      <c r="O149" s="227">
        <v>-0.32021806000000003</v>
      </c>
      <c r="P149" s="227">
        <v>-0.98570095999999996</v>
      </c>
      <c r="Q149" s="227">
        <v>0.47708333000000003</v>
      </c>
      <c r="R149" s="227">
        <v>0.90993639999999998</v>
      </c>
      <c r="S149" s="227">
        <v>1</v>
      </c>
      <c r="T149" s="227">
        <v>1940</v>
      </c>
      <c r="U149" s="227" t="s">
        <v>2086</v>
      </c>
    </row>
    <row r="150" spans="1:21" x14ac:dyDescent="0.25">
      <c r="A150" t="s">
        <v>2087</v>
      </c>
      <c r="B150">
        <v>18</v>
      </c>
      <c r="C150">
        <v>-0.34080814999999998</v>
      </c>
      <c r="D150">
        <v>-0.97668310000000003</v>
      </c>
      <c r="E150">
        <v>0.51483049999999997</v>
      </c>
      <c r="F150">
        <v>0.92825080000000004</v>
      </c>
      <c r="G150">
        <v>1</v>
      </c>
      <c r="H150">
        <v>1241</v>
      </c>
      <c r="I150" t="s">
        <v>2088</v>
      </c>
      <c r="M150" s="227" t="s">
        <v>2087</v>
      </c>
      <c r="N150" s="227">
        <v>18</v>
      </c>
      <c r="O150" s="227">
        <v>-0.34080814999999998</v>
      </c>
      <c r="P150" s="227">
        <v>-0.97668310000000003</v>
      </c>
      <c r="Q150" s="227">
        <v>0.51483049999999997</v>
      </c>
      <c r="R150" s="227">
        <v>0.92825080000000004</v>
      </c>
      <c r="S150" s="227">
        <v>1</v>
      </c>
      <c r="T150" s="227">
        <v>1241</v>
      </c>
      <c r="U150" s="227" t="s">
        <v>2088</v>
      </c>
    </row>
    <row r="151" spans="1:21" x14ac:dyDescent="0.25">
      <c r="A151" t="s">
        <v>2089</v>
      </c>
      <c r="B151">
        <v>26</v>
      </c>
      <c r="C151">
        <v>-0.32672843000000001</v>
      </c>
      <c r="D151">
        <v>-0.97171974000000005</v>
      </c>
      <c r="E151">
        <v>0.5</v>
      </c>
      <c r="F151">
        <v>0.93536353000000005</v>
      </c>
      <c r="G151">
        <v>1</v>
      </c>
      <c r="H151">
        <v>4877</v>
      </c>
      <c r="I151" t="s">
        <v>2090</v>
      </c>
      <c r="M151" s="227" t="s">
        <v>2089</v>
      </c>
      <c r="N151" s="227">
        <v>26</v>
      </c>
      <c r="O151" s="227">
        <v>-0.32672843000000001</v>
      </c>
      <c r="P151" s="227">
        <v>-0.97171974000000005</v>
      </c>
      <c r="Q151" s="227">
        <v>0.5</v>
      </c>
      <c r="R151" s="227">
        <v>0.93536353000000005</v>
      </c>
      <c r="S151" s="227">
        <v>1</v>
      </c>
      <c r="T151" s="227">
        <v>4877</v>
      </c>
      <c r="U151" s="227" t="s">
        <v>2090</v>
      </c>
    </row>
    <row r="152" spans="1:21" x14ac:dyDescent="0.25">
      <c r="A152" t="s">
        <v>2091</v>
      </c>
      <c r="B152">
        <v>35</v>
      </c>
      <c r="C152">
        <v>-0.36101285</v>
      </c>
      <c r="D152">
        <v>-0.96418250000000005</v>
      </c>
      <c r="E152">
        <v>0.52212389999999997</v>
      </c>
      <c r="F152">
        <v>0.95026639999999996</v>
      </c>
      <c r="G152">
        <v>1</v>
      </c>
      <c r="H152">
        <v>3744</v>
      </c>
      <c r="I152" t="s">
        <v>2092</v>
      </c>
      <c r="M152" s="227" t="s">
        <v>2091</v>
      </c>
      <c r="N152" s="227">
        <v>35</v>
      </c>
      <c r="O152" s="227">
        <v>-0.36101285</v>
      </c>
      <c r="P152" s="227">
        <v>-0.96418250000000005</v>
      </c>
      <c r="Q152" s="227">
        <v>0.52212389999999997</v>
      </c>
      <c r="R152" s="227">
        <v>0.95026639999999996</v>
      </c>
      <c r="S152" s="227">
        <v>1</v>
      </c>
      <c r="T152" s="227">
        <v>3744</v>
      </c>
      <c r="U152" s="227" t="s">
        <v>2092</v>
      </c>
    </row>
    <row r="153" spans="1:21" x14ac:dyDescent="0.25">
      <c r="A153" t="s">
        <v>2093</v>
      </c>
      <c r="B153">
        <v>109</v>
      </c>
      <c r="C153">
        <v>-0.21703896</v>
      </c>
      <c r="D153">
        <v>-0.95732360000000005</v>
      </c>
      <c r="E153">
        <v>0.50826450000000001</v>
      </c>
      <c r="F153">
        <v>0.9627057</v>
      </c>
      <c r="G153">
        <v>1</v>
      </c>
      <c r="H153">
        <v>1842</v>
      </c>
      <c r="I153" t="s">
        <v>2094</v>
      </c>
      <c r="M153" s="227" t="s">
        <v>2093</v>
      </c>
      <c r="N153" s="227">
        <v>109</v>
      </c>
      <c r="O153" s="227">
        <v>-0.21703896</v>
      </c>
      <c r="P153" s="227">
        <v>-0.95732360000000005</v>
      </c>
      <c r="Q153" s="227">
        <v>0.50826450000000001</v>
      </c>
      <c r="R153" s="227">
        <v>0.9627057</v>
      </c>
      <c r="S153" s="227">
        <v>1</v>
      </c>
      <c r="T153" s="227">
        <v>1842</v>
      </c>
      <c r="U153" s="227" t="s">
        <v>2094</v>
      </c>
    </row>
    <row r="154" spans="1:21" x14ac:dyDescent="0.25">
      <c r="A154" t="s">
        <v>2095</v>
      </c>
      <c r="B154">
        <v>15</v>
      </c>
      <c r="C154">
        <v>-0.30678647999999997</v>
      </c>
      <c r="D154">
        <v>-0.95677066</v>
      </c>
      <c r="E154">
        <v>0.52991456000000003</v>
      </c>
      <c r="F154">
        <v>0.95784384</v>
      </c>
      <c r="G154">
        <v>1</v>
      </c>
      <c r="H154">
        <v>612</v>
      </c>
      <c r="I154" t="s">
        <v>2096</v>
      </c>
      <c r="M154" s="227" t="s">
        <v>2095</v>
      </c>
      <c r="N154" s="227">
        <v>15</v>
      </c>
      <c r="O154" s="227">
        <v>-0.30678647999999997</v>
      </c>
      <c r="P154" s="227">
        <v>-0.95677066</v>
      </c>
      <c r="Q154" s="227">
        <v>0.52991456000000003</v>
      </c>
      <c r="R154" s="227">
        <v>0.95784384</v>
      </c>
      <c r="S154" s="227">
        <v>1</v>
      </c>
      <c r="T154" s="227">
        <v>612</v>
      </c>
      <c r="U154" s="227" t="s">
        <v>2096</v>
      </c>
    </row>
    <row r="155" spans="1:21" x14ac:dyDescent="0.25">
      <c r="A155" t="s">
        <v>2097</v>
      </c>
      <c r="B155">
        <v>22</v>
      </c>
      <c r="C155">
        <v>-0.2818291</v>
      </c>
      <c r="D155">
        <v>-0.95406276000000001</v>
      </c>
      <c r="E155">
        <v>0.51033055999999999</v>
      </c>
      <c r="F155">
        <v>0.95893114999999995</v>
      </c>
      <c r="G155">
        <v>1</v>
      </c>
      <c r="H155">
        <v>2529</v>
      </c>
      <c r="I155" t="s">
        <v>2098</v>
      </c>
      <c r="M155" s="227" t="s">
        <v>2097</v>
      </c>
      <c r="N155" s="227">
        <v>22</v>
      </c>
      <c r="O155" s="227">
        <v>-0.2818291</v>
      </c>
      <c r="P155" s="227">
        <v>-0.95406276000000001</v>
      </c>
      <c r="Q155" s="227">
        <v>0.51033055999999999</v>
      </c>
      <c r="R155" s="227">
        <v>0.95893114999999995</v>
      </c>
      <c r="S155" s="227">
        <v>1</v>
      </c>
      <c r="T155" s="227">
        <v>2529</v>
      </c>
      <c r="U155" s="227" t="s">
        <v>2098</v>
      </c>
    </row>
    <row r="156" spans="1:21" x14ac:dyDescent="0.25">
      <c r="A156" t="s">
        <v>2099</v>
      </c>
      <c r="B156">
        <v>58</v>
      </c>
      <c r="C156">
        <v>-0.24161513000000001</v>
      </c>
      <c r="D156">
        <v>-0.95236209999999999</v>
      </c>
      <c r="E156">
        <v>0.51738240000000002</v>
      </c>
      <c r="F156">
        <v>0.95689480000000005</v>
      </c>
      <c r="G156">
        <v>1</v>
      </c>
      <c r="H156">
        <v>3014</v>
      </c>
      <c r="I156" t="s">
        <v>2100</v>
      </c>
      <c r="M156" s="227" t="s">
        <v>2099</v>
      </c>
      <c r="N156" s="227">
        <v>58</v>
      </c>
      <c r="O156" s="227">
        <v>-0.24161513000000001</v>
      </c>
      <c r="P156" s="227">
        <v>-0.95236209999999999</v>
      </c>
      <c r="Q156" s="227">
        <v>0.51738240000000002</v>
      </c>
      <c r="R156" s="227">
        <v>0.95689480000000005</v>
      </c>
      <c r="S156" s="227">
        <v>1</v>
      </c>
      <c r="T156" s="227">
        <v>3014</v>
      </c>
      <c r="U156" s="227" t="s">
        <v>2100</v>
      </c>
    </row>
    <row r="157" spans="1:21" x14ac:dyDescent="0.25">
      <c r="A157" t="s">
        <v>2101</v>
      </c>
      <c r="B157">
        <v>132</v>
      </c>
      <c r="C157">
        <v>-0.20441169000000001</v>
      </c>
      <c r="D157">
        <v>-0.95199644999999999</v>
      </c>
      <c r="E157">
        <v>0.55230120000000005</v>
      </c>
      <c r="F157">
        <v>0.95174720000000002</v>
      </c>
      <c r="G157">
        <v>1</v>
      </c>
      <c r="H157">
        <v>2170</v>
      </c>
      <c r="I157" t="s">
        <v>2102</v>
      </c>
      <c r="M157" s="227" t="s">
        <v>2101</v>
      </c>
      <c r="N157" s="227">
        <v>132</v>
      </c>
      <c r="O157" s="227">
        <v>-0.20441169000000001</v>
      </c>
      <c r="P157" s="227">
        <v>-0.95199644999999999</v>
      </c>
      <c r="Q157" s="227">
        <v>0.55230120000000005</v>
      </c>
      <c r="R157" s="227">
        <v>0.95174720000000002</v>
      </c>
      <c r="S157" s="227">
        <v>1</v>
      </c>
      <c r="T157" s="227">
        <v>2170</v>
      </c>
      <c r="U157" s="227" t="s">
        <v>2102</v>
      </c>
    </row>
    <row r="158" spans="1:21" x14ac:dyDescent="0.25">
      <c r="A158" t="s">
        <v>2103</v>
      </c>
      <c r="B158">
        <v>19</v>
      </c>
      <c r="C158">
        <v>-0.30359419999999998</v>
      </c>
      <c r="D158">
        <v>-0.95053270000000001</v>
      </c>
      <c r="E158">
        <v>0.51652889999999996</v>
      </c>
      <c r="F158">
        <v>0.94952554</v>
      </c>
      <c r="G158">
        <v>1</v>
      </c>
      <c r="H158">
        <v>3742</v>
      </c>
      <c r="I158" t="s">
        <v>1862</v>
      </c>
      <c r="M158" s="227" t="s">
        <v>2103</v>
      </c>
      <c r="N158" s="227">
        <v>19</v>
      </c>
      <c r="O158" s="227">
        <v>-0.30359419999999998</v>
      </c>
      <c r="P158" s="227">
        <v>-0.95053270000000001</v>
      </c>
      <c r="Q158" s="227">
        <v>0.51652889999999996</v>
      </c>
      <c r="R158" s="227">
        <v>0.94952554</v>
      </c>
      <c r="S158" s="227">
        <v>1</v>
      </c>
      <c r="T158" s="227">
        <v>3742</v>
      </c>
      <c r="U158" s="227" t="s">
        <v>1862</v>
      </c>
    </row>
    <row r="159" spans="1:21" x14ac:dyDescent="0.25">
      <c r="A159" t="s">
        <v>2104</v>
      </c>
      <c r="B159">
        <v>26</v>
      </c>
      <c r="C159">
        <v>-0.26767679999999999</v>
      </c>
      <c r="D159">
        <v>-0.95028009999999996</v>
      </c>
      <c r="E159">
        <v>0.54901962999999998</v>
      </c>
      <c r="F159">
        <v>0.94414869999999995</v>
      </c>
      <c r="G159">
        <v>1</v>
      </c>
      <c r="H159">
        <v>3813</v>
      </c>
      <c r="I159" t="s">
        <v>2048</v>
      </c>
      <c r="M159" s="227" t="s">
        <v>2104</v>
      </c>
      <c r="N159" s="227">
        <v>26</v>
      </c>
      <c r="O159" s="227">
        <v>-0.26767679999999999</v>
      </c>
      <c r="P159" s="227">
        <v>-0.95028009999999996</v>
      </c>
      <c r="Q159" s="227">
        <v>0.54901962999999998</v>
      </c>
      <c r="R159" s="227">
        <v>0.94414869999999995</v>
      </c>
      <c r="S159" s="227">
        <v>1</v>
      </c>
      <c r="T159" s="227">
        <v>3813</v>
      </c>
      <c r="U159" s="227" t="s">
        <v>2048</v>
      </c>
    </row>
    <row r="160" spans="1:21" x14ac:dyDescent="0.25">
      <c r="A160" t="s">
        <v>2105</v>
      </c>
      <c r="B160">
        <v>51</v>
      </c>
      <c r="C160">
        <v>-0.23918806000000001</v>
      </c>
      <c r="D160">
        <v>-0.94895077000000005</v>
      </c>
      <c r="E160">
        <v>0.53483605000000001</v>
      </c>
      <c r="F160">
        <v>0.94182840000000001</v>
      </c>
      <c r="G160">
        <v>1</v>
      </c>
      <c r="H160">
        <v>3868</v>
      </c>
      <c r="I160" t="s">
        <v>2106</v>
      </c>
      <c r="M160" s="227" t="s">
        <v>2105</v>
      </c>
      <c r="N160" s="227">
        <v>51</v>
      </c>
      <c r="O160" s="227">
        <v>-0.23918806000000001</v>
      </c>
      <c r="P160" s="227">
        <v>-0.94895077000000005</v>
      </c>
      <c r="Q160" s="227">
        <v>0.53483605000000001</v>
      </c>
      <c r="R160" s="227">
        <v>0.94182840000000001</v>
      </c>
      <c r="S160" s="227">
        <v>1</v>
      </c>
      <c r="T160" s="227">
        <v>3868</v>
      </c>
      <c r="U160" s="227" t="s">
        <v>2106</v>
      </c>
    </row>
    <row r="161" spans="1:21" x14ac:dyDescent="0.25">
      <c r="A161" t="s">
        <v>2107</v>
      </c>
      <c r="B161">
        <v>22</v>
      </c>
      <c r="C161">
        <v>-0.31853595000000001</v>
      </c>
      <c r="D161">
        <v>-0.94476570000000004</v>
      </c>
      <c r="E161">
        <v>0.52051835999999996</v>
      </c>
      <c r="F161">
        <v>0.94711840000000003</v>
      </c>
      <c r="G161">
        <v>1</v>
      </c>
      <c r="H161">
        <v>3518</v>
      </c>
      <c r="I161" t="s">
        <v>2108</v>
      </c>
      <c r="M161" s="227" t="s">
        <v>2107</v>
      </c>
      <c r="N161" s="227">
        <v>22</v>
      </c>
      <c r="O161" s="227">
        <v>-0.31853595000000001</v>
      </c>
      <c r="P161" s="227">
        <v>-0.94476570000000004</v>
      </c>
      <c r="Q161" s="227">
        <v>0.52051835999999996</v>
      </c>
      <c r="R161" s="227">
        <v>0.94711840000000003</v>
      </c>
      <c r="S161" s="227">
        <v>1</v>
      </c>
      <c r="T161" s="227">
        <v>3518</v>
      </c>
      <c r="U161" s="227" t="s">
        <v>2108</v>
      </c>
    </row>
    <row r="162" spans="1:21" x14ac:dyDescent="0.25">
      <c r="A162" t="s">
        <v>2109</v>
      </c>
      <c r="B162">
        <v>23</v>
      </c>
      <c r="C162">
        <v>-0.2765396</v>
      </c>
      <c r="D162">
        <v>-0.93932329999999997</v>
      </c>
      <c r="E162">
        <v>0.5502283</v>
      </c>
      <c r="F162">
        <v>0.95535976</v>
      </c>
      <c r="G162">
        <v>1</v>
      </c>
      <c r="H162">
        <v>3455</v>
      </c>
      <c r="I162" t="s">
        <v>2110</v>
      </c>
      <c r="M162" s="227" t="s">
        <v>2109</v>
      </c>
      <c r="N162" s="227">
        <v>23</v>
      </c>
      <c r="O162" s="227">
        <v>-0.2765396</v>
      </c>
      <c r="P162" s="227">
        <v>-0.93932329999999997</v>
      </c>
      <c r="Q162" s="227">
        <v>0.5502283</v>
      </c>
      <c r="R162" s="227">
        <v>0.95535976</v>
      </c>
      <c r="S162" s="227">
        <v>1</v>
      </c>
      <c r="T162" s="227">
        <v>3455</v>
      </c>
      <c r="U162" s="227" t="s">
        <v>2110</v>
      </c>
    </row>
    <row r="163" spans="1:21" x14ac:dyDescent="0.25">
      <c r="A163" t="s">
        <v>2111</v>
      </c>
      <c r="B163">
        <v>17</v>
      </c>
      <c r="C163">
        <v>-0.30919530000000001</v>
      </c>
      <c r="D163">
        <v>-0.93276243999999997</v>
      </c>
      <c r="E163">
        <v>0.50997780000000004</v>
      </c>
      <c r="F163">
        <v>0.96646350000000003</v>
      </c>
      <c r="G163">
        <v>1</v>
      </c>
      <c r="H163">
        <v>2411</v>
      </c>
      <c r="I163" t="s">
        <v>2112</v>
      </c>
      <c r="M163" s="227" t="s">
        <v>2111</v>
      </c>
      <c r="N163" s="227">
        <v>17</v>
      </c>
      <c r="O163" s="227">
        <v>-0.30919530000000001</v>
      </c>
      <c r="P163" s="227">
        <v>-0.93276243999999997</v>
      </c>
      <c r="Q163" s="227">
        <v>0.50997780000000004</v>
      </c>
      <c r="R163" s="227">
        <v>0.96646350000000003</v>
      </c>
      <c r="S163" s="227">
        <v>1</v>
      </c>
      <c r="T163" s="227">
        <v>2411</v>
      </c>
      <c r="U163" s="227" t="s">
        <v>2112</v>
      </c>
    </row>
    <row r="164" spans="1:21" x14ac:dyDescent="0.25">
      <c r="A164" t="s">
        <v>2113</v>
      </c>
      <c r="B164">
        <v>23</v>
      </c>
      <c r="C164">
        <v>-0.28556811999999998</v>
      </c>
      <c r="D164">
        <v>-0.92284893999999995</v>
      </c>
      <c r="E164">
        <v>0.55991732999999999</v>
      </c>
      <c r="F164">
        <v>0.98683509999999997</v>
      </c>
      <c r="G164">
        <v>1</v>
      </c>
      <c r="H164">
        <v>3295</v>
      </c>
      <c r="I164" t="s">
        <v>2114</v>
      </c>
      <c r="M164" s="227" t="s">
        <v>2113</v>
      </c>
      <c r="N164" s="227">
        <v>23</v>
      </c>
      <c r="O164" s="227">
        <v>-0.28556811999999998</v>
      </c>
      <c r="P164" s="227">
        <v>-0.92284893999999995</v>
      </c>
      <c r="Q164" s="227">
        <v>0.55991732999999999</v>
      </c>
      <c r="R164" s="227">
        <v>0.98683509999999997</v>
      </c>
      <c r="S164" s="227">
        <v>1</v>
      </c>
      <c r="T164" s="227">
        <v>3295</v>
      </c>
      <c r="U164" s="227" t="s">
        <v>2114</v>
      </c>
    </row>
    <row r="165" spans="1:21" x14ac:dyDescent="0.25">
      <c r="A165" t="s">
        <v>2115</v>
      </c>
      <c r="B165">
        <v>16</v>
      </c>
      <c r="C165">
        <v>-0.29587570000000002</v>
      </c>
      <c r="D165">
        <v>-0.91200506999999997</v>
      </c>
      <c r="E165">
        <v>0.55263156000000002</v>
      </c>
      <c r="F165">
        <v>1</v>
      </c>
      <c r="G165">
        <v>1</v>
      </c>
      <c r="H165">
        <v>1604</v>
      </c>
      <c r="I165" t="s">
        <v>2116</v>
      </c>
      <c r="M165" s="227" t="s">
        <v>2115</v>
      </c>
      <c r="N165" s="227">
        <v>16</v>
      </c>
      <c r="O165" s="227">
        <v>-0.29587570000000002</v>
      </c>
      <c r="P165" s="227">
        <v>-0.91200506999999997</v>
      </c>
      <c r="Q165" s="227">
        <v>0.55263156000000002</v>
      </c>
      <c r="R165" s="227">
        <v>1</v>
      </c>
      <c r="S165" s="227">
        <v>1</v>
      </c>
      <c r="T165" s="227">
        <v>1604</v>
      </c>
      <c r="U165" s="227" t="s">
        <v>2116</v>
      </c>
    </row>
    <row r="166" spans="1:21" x14ac:dyDescent="0.25">
      <c r="A166" t="s">
        <v>2117</v>
      </c>
      <c r="B166">
        <v>36</v>
      </c>
      <c r="C166">
        <v>-0.28986400000000001</v>
      </c>
      <c r="D166">
        <v>-0.91093820000000003</v>
      </c>
      <c r="E166">
        <v>0.5566219</v>
      </c>
      <c r="F166">
        <v>1</v>
      </c>
      <c r="G166">
        <v>1</v>
      </c>
      <c r="H166">
        <v>5345</v>
      </c>
      <c r="I166" t="s">
        <v>2118</v>
      </c>
      <c r="M166" s="227" t="s">
        <v>2117</v>
      </c>
      <c r="N166" s="227">
        <v>36</v>
      </c>
      <c r="O166" s="227">
        <v>-0.28986400000000001</v>
      </c>
      <c r="P166" s="227">
        <v>-0.91093820000000003</v>
      </c>
      <c r="Q166" s="227">
        <v>0.5566219</v>
      </c>
      <c r="R166" s="227">
        <v>1</v>
      </c>
      <c r="S166" s="227">
        <v>1</v>
      </c>
      <c r="T166" s="227">
        <v>5345</v>
      </c>
      <c r="U166" s="227" t="s">
        <v>2118</v>
      </c>
    </row>
    <row r="167" spans="1:21" x14ac:dyDescent="0.25">
      <c r="A167" t="s">
        <v>2119</v>
      </c>
      <c r="B167">
        <v>96</v>
      </c>
      <c r="C167">
        <v>-0.22436312999999999</v>
      </c>
      <c r="D167">
        <v>-0.90821490000000005</v>
      </c>
      <c r="E167">
        <v>0.57494867000000005</v>
      </c>
      <c r="F167">
        <v>1</v>
      </c>
      <c r="G167">
        <v>1</v>
      </c>
      <c r="H167">
        <v>3949</v>
      </c>
      <c r="I167" t="s">
        <v>2120</v>
      </c>
      <c r="M167" s="227" t="s">
        <v>2119</v>
      </c>
      <c r="N167" s="227">
        <v>96</v>
      </c>
      <c r="O167" s="227">
        <v>-0.22436312999999999</v>
      </c>
      <c r="P167" s="227">
        <v>-0.90821490000000005</v>
      </c>
      <c r="Q167" s="227">
        <v>0.57494867000000005</v>
      </c>
      <c r="R167" s="227">
        <v>1</v>
      </c>
      <c r="S167" s="227">
        <v>1</v>
      </c>
      <c r="T167" s="227">
        <v>3949</v>
      </c>
      <c r="U167" s="227" t="s">
        <v>2120</v>
      </c>
    </row>
    <row r="168" spans="1:21" x14ac:dyDescent="0.25">
      <c r="A168" t="s">
        <v>2121</v>
      </c>
      <c r="B168">
        <v>26</v>
      </c>
      <c r="C168">
        <v>-0.26138942999999998</v>
      </c>
      <c r="D168">
        <v>-0.90646123999999995</v>
      </c>
      <c r="E168">
        <v>0.62114537000000003</v>
      </c>
      <c r="F168">
        <v>1</v>
      </c>
      <c r="G168">
        <v>1</v>
      </c>
      <c r="H168">
        <v>1940</v>
      </c>
      <c r="I168" t="s">
        <v>2122</v>
      </c>
      <c r="M168" s="227" t="s">
        <v>2121</v>
      </c>
      <c r="N168" s="227">
        <v>26</v>
      </c>
      <c r="O168" s="227">
        <v>-0.26138942999999998</v>
      </c>
      <c r="P168" s="227">
        <v>-0.90646123999999995</v>
      </c>
      <c r="Q168" s="227">
        <v>0.62114537000000003</v>
      </c>
      <c r="R168" s="227">
        <v>1</v>
      </c>
      <c r="S168" s="227">
        <v>1</v>
      </c>
      <c r="T168" s="227">
        <v>1940</v>
      </c>
      <c r="U168" s="227" t="s">
        <v>2122</v>
      </c>
    </row>
    <row r="169" spans="1:21" x14ac:dyDescent="0.25">
      <c r="A169" t="s">
        <v>2123</v>
      </c>
      <c r="B169">
        <v>23</v>
      </c>
      <c r="C169">
        <v>-0.29760426000000001</v>
      </c>
      <c r="D169">
        <v>-0.90554683999999996</v>
      </c>
      <c r="E169">
        <v>0.5746888</v>
      </c>
      <c r="F169">
        <v>1</v>
      </c>
      <c r="G169">
        <v>1</v>
      </c>
      <c r="H169">
        <v>3144</v>
      </c>
      <c r="I169" t="s">
        <v>2124</v>
      </c>
      <c r="M169" s="227" t="s">
        <v>2123</v>
      </c>
      <c r="N169" s="227">
        <v>23</v>
      </c>
      <c r="O169" s="227">
        <v>-0.29760426000000001</v>
      </c>
      <c r="P169" s="227">
        <v>-0.90554683999999996</v>
      </c>
      <c r="Q169" s="227">
        <v>0.5746888</v>
      </c>
      <c r="R169" s="227">
        <v>1</v>
      </c>
      <c r="S169" s="227">
        <v>1</v>
      </c>
      <c r="T169" s="227">
        <v>3144</v>
      </c>
      <c r="U169" s="227" t="s">
        <v>2124</v>
      </c>
    </row>
    <row r="170" spans="1:21" x14ac:dyDescent="0.25">
      <c r="A170" t="s">
        <v>2125</v>
      </c>
      <c r="B170">
        <v>17</v>
      </c>
      <c r="C170">
        <v>-0.29510954</v>
      </c>
      <c r="D170">
        <v>-0.90444389999999997</v>
      </c>
      <c r="E170">
        <v>0.55578095000000005</v>
      </c>
      <c r="F170">
        <v>0.9994478</v>
      </c>
      <c r="G170">
        <v>1</v>
      </c>
      <c r="H170">
        <v>1604</v>
      </c>
      <c r="I170" t="s">
        <v>2126</v>
      </c>
      <c r="M170" s="227" t="s">
        <v>2125</v>
      </c>
      <c r="N170" s="227">
        <v>17</v>
      </c>
      <c r="O170" s="227">
        <v>-0.29510954</v>
      </c>
      <c r="P170" s="227">
        <v>-0.90444389999999997</v>
      </c>
      <c r="Q170" s="227">
        <v>0.55578095000000005</v>
      </c>
      <c r="R170" s="227">
        <v>0.9994478</v>
      </c>
      <c r="S170" s="227">
        <v>1</v>
      </c>
      <c r="T170" s="227">
        <v>1604</v>
      </c>
      <c r="U170" s="227" t="s">
        <v>2126</v>
      </c>
    </row>
    <row r="171" spans="1:21" x14ac:dyDescent="0.25">
      <c r="A171" t="s">
        <v>2127</v>
      </c>
      <c r="B171">
        <v>17</v>
      </c>
      <c r="C171">
        <v>-0.29510954</v>
      </c>
      <c r="D171">
        <v>-0.90444389999999997</v>
      </c>
      <c r="E171">
        <v>0.55578095000000005</v>
      </c>
      <c r="F171">
        <v>0.99353389999999997</v>
      </c>
      <c r="G171">
        <v>1</v>
      </c>
      <c r="H171">
        <v>1604</v>
      </c>
      <c r="I171" t="s">
        <v>2126</v>
      </c>
      <c r="M171" s="227" t="s">
        <v>2127</v>
      </c>
      <c r="N171" s="227">
        <v>17</v>
      </c>
      <c r="O171" s="227">
        <v>-0.29510954</v>
      </c>
      <c r="P171" s="227">
        <v>-0.90444389999999997</v>
      </c>
      <c r="Q171" s="227">
        <v>0.55578095000000005</v>
      </c>
      <c r="R171" s="227">
        <v>0.99353389999999997</v>
      </c>
      <c r="S171" s="227">
        <v>1</v>
      </c>
      <c r="T171" s="227">
        <v>1604</v>
      </c>
      <c r="U171" s="227" t="s">
        <v>2126</v>
      </c>
    </row>
    <row r="172" spans="1:21" x14ac:dyDescent="0.25">
      <c r="A172" t="s">
        <v>2128</v>
      </c>
      <c r="B172">
        <v>39</v>
      </c>
      <c r="C172">
        <v>-0.32799299999999998</v>
      </c>
      <c r="D172">
        <v>-0.90255620000000003</v>
      </c>
      <c r="E172">
        <v>0.59070796000000003</v>
      </c>
      <c r="F172">
        <v>0.99229246000000004</v>
      </c>
      <c r="G172">
        <v>1</v>
      </c>
      <c r="H172">
        <v>3744</v>
      </c>
      <c r="I172" t="s">
        <v>2129</v>
      </c>
      <c r="M172" s="227" t="s">
        <v>2128</v>
      </c>
      <c r="N172" s="227">
        <v>39</v>
      </c>
      <c r="O172" s="227">
        <v>-0.32799299999999998</v>
      </c>
      <c r="P172" s="227">
        <v>-0.90255620000000003</v>
      </c>
      <c r="Q172" s="227">
        <v>0.59070796000000003</v>
      </c>
      <c r="R172" s="227">
        <v>0.99229246000000004</v>
      </c>
      <c r="S172" s="227">
        <v>1</v>
      </c>
      <c r="T172" s="227">
        <v>3744</v>
      </c>
      <c r="U172" s="227" t="s">
        <v>2129</v>
      </c>
    </row>
    <row r="173" spans="1:21" x14ac:dyDescent="0.25">
      <c r="A173" t="s">
        <v>2130</v>
      </c>
      <c r="B173">
        <v>25</v>
      </c>
      <c r="C173">
        <v>-0.27030963000000002</v>
      </c>
      <c r="D173">
        <v>-0.90093109999999998</v>
      </c>
      <c r="E173">
        <v>0.60248446</v>
      </c>
      <c r="F173">
        <v>0.99089300000000002</v>
      </c>
      <c r="G173">
        <v>1</v>
      </c>
      <c r="H173">
        <v>2638</v>
      </c>
      <c r="I173" t="s">
        <v>2131</v>
      </c>
      <c r="M173" s="227" t="s">
        <v>2130</v>
      </c>
      <c r="N173" s="227">
        <v>25</v>
      </c>
      <c r="O173" s="227">
        <v>-0.27030963000000002</v>
      </c>
      <c r="P173" s="227">
        <v>-0.90093109999999998</v>
      </c>
      <c r="Q173" s="227">
        <v>0.60248446</v>
      </c>
      <c r="R173" s="227">
        <v>0.99089300000000002</v>
      </c>
      <c r="S173" s="227">
        <v>1</v>
      </c>
      <c r="T173" s="227">
        <v>2638</v>
      </c>
      <c r="U173" s="227" t="s">
        <v>2131</v>
      </c>
    </row>
    <row r="174" spans="1:21" x14ac:dyDescent="0.25">
      <c r="A174" t="s">
        <v>2132</v>
      </c>
      <c r="B174">
        <v>40</v>
      </c>
      <c r="C174">
        <v>-0.32438359999999999</v>
      </c>
      <c r="D174">
        <v>-0.90028375000000005</v>
      </c>
      <c r="E174">
        <v>0.58849554999999998</v>
      </c>
      <c r="F174">
        <v>0.98661816000000002</v>
      </c>
      <c r="G174">
        <v>1</v>
      </c>
      <c r="H174">
        <v>4646</v>
      </c>
      <c r="I174" t="s">
        <v>1967</v>
      </c>
      <c r="M174" s="227" t="s">
        <v>2132</v>
      </c>
      <c r="N174" s="227">
        <v>40</v>
      </c>
      <c r="O174" s="227">
        <v>-0.32438359999999999</v>
      </c>
      <c r="P174" s="227">
        <v>-0.90028375000000005</v>
      </c>
      <c r="Q174" s="227">
        <v>0.58849554999999998</v>
      </c>
      <c r="R174" s="227">
        <v>0.98661816000000002</v>
      </c>
      <c r="S174" s="227">
        <v>1</v>
      </c>
      <c r="T174" s="227">
        <v>4646</v>
      </c>
      <c r="U174" s="227" t="s">
        <v>1967</v>
      </c>
    </row>
    <row r="175" spans="1:21" x14ac:dyDescent="0.25">
      <c r="A175" t="s">
        <v>2133</v>
      </c>
      <c r="B175">
        <v>84</v>
      </c>
      <c r="C175">
        <v>-0.20715929999999999</v>
      </c>
      <c r="D175">
        <v>-0.89914596000000002</v>
      </c>
      <c r="E175">
        <v>0.65082644999999995</v>
      </c>
      <c r="F175">
        <v>0.98384726</v>
      </c>
      <c r="G175">
        <v>1</v>
      </c>
      <c r="H175">
        <v>1562</v>
      </c>
      <c r="I175" t="s">
        <v>2134</v>
      </c>
      <c r="M175" s="227" t="s">
        <v>2133</v>
      </c>
      <c r="N175" s="227">
        <v>84</v>
      </c>
      <c r="O175" s="227">
        <v>-0.20715929999999999</v>
      </c>
      <c r="P175" s="227">
        <v>-0.89914596000000002</v>
      </c>
      <c r="Q175" s="227">
        <v>0.65082644999999995</v>
      </c>
      <c r="R175" s="227">
        <v>0.98384726</v>
      </c>
      <c r="S175" s="227">
        <v>1</v>
      </c>
      <c r="T175" s="227">
        <v>1562</v>
      </c>
      <c r="U175" s="227" t="s">
        <v>2134</v>
      </c>
    </row>
    <row r="176" spans="1:21" x14ac:dyDescent="0.25">
      <c r="A176" t="s">
        <v>2135</v>
      </c>
      <c r="B176">
        <v>25</v>
      </c>
      <c r="C176">
        <v>-0.32246643000000003</v>
      </c>
      <c r="D176">
        <v>-0.89279383000000001</v>
      </c>
      <c r="E176">
        <v>0.56161620000000001</v>
      </c>
      <c r="F176">
        <v>0.99411475999999999</v>
      </c>
      <c r="G176">
        <v>1</v>
      </c>
      <c r="H176">
        <v>3669</v>
      </c>
      <c r="I176" t="s">
        <v>2136</v>
      </c>
      <c r="M176" s="227" t="s">
        <v>2135</v>
      </c>
      <c r="N176" s="227">
        <v>25</v>
      </c>
      <c r="O176" s="227">
        <v>-0.32246643000000003</v>
      </c>
      <c r="P176" s="227">
        <v>-0.89279383000000001</v>
      </c>
      <c r="Q176" s="227">
        <v>0.56161620000000001</v>
      </c>
      <c r="R176" s="227">
        <v>0.99411475999999999</v>
      </c>
      <c r="S176" s="227">
        <v>1</v>
      </c>
      <c r="T176" s="227">
        <v>3669</v>
      </c>
      <c r="U176" s="227" t="s">
        <v>2136</v>
      </c>
    </row>
    <row r="177" spans="1:21" x14ac:dyDescent="0.25">
      <c r="A177" t="s">
        <v>2137</v>
      </c>
      <c r="B177">
        <v>77</v>
      </c>
      <c r="C177">
        <v>-0.23801352000000001</v>
      </c>
      <c r="D177">
        <v>-0.89125969999999999</v>
      </c>
      <c r="E177">
        <v>0.57746476000000002</v>
      </c>
      <c r="F177">
        <v>0.99234520000000004</v>
      </c>
      <c r="G177">
        <v>1</v>
      </c>
      <c r="H177">
        <v>1953</v>
      </c>
      <c r="I177" t="s">
        <v>2138</v>
      </c>
      <c r="M177" s="227" t="s">
        <v>2137</v>
      </c>
      <c r="N177" s="227">
        <v>77</v>
      </c>
      <c r="O177" s="227">
        <v>-0.23801352000000001</v>
      </c>
      <c r="P177" s="227">
        <v>-0.89125969999999999</v>
      </c>
      <c r="Q177" s="227">
        <v>0.57746476000000002</v>
      </c>
      <c r="R177" s="227">
        <v>0.99234520000000004</v>
      </c>
      <c r="S177" s="227">
        <v>1</v>
      </c>
      <c r="T177" s="227">
        <v>1953</v>
      </c>
      <c r="U177" s="227" t="s">
        <v>2138</v>
      </c>
    </row>
    <row r="178" spans="1:21" x14ac:dyDescent="0.25">
      <c r="A178" t="s">
        <v>2139</v>
      </c>
      <c r="B178">
        <v>22</v>
      </c>
      <c r="C178">
        <v>-0.31275898000000002</v>
      </c>
      <c r="D178">
        <v>-0.88315237000000002</v>
      </c>
      <c r="E178">
        <v>0.5991649</v>
      </c>
      <c r="F178">
        <v>1</v>
      </c>
      <c r="G178">
        <v>1</v>
      </c>
      <c r="H178">
        <v>4761</v>
      </c>
      <c r="I178" t="s">
        <v>2140</v>
      </c>
      <c r="M178" s="227" t="s">
        <v>2139</v>
      </c>
      <c r="N178" s="227">
        <v>22</v>
      </c>
      <c r="O178" s="227">
        <v>-0.31275898000000002</v>
      </c>
      <c r="P178" s="227">
        <v>-0.88315237000000002</v>
      </c>
      <c r="Q178" s="227">
        <v>0.5991649</v>
      </c>
      <c r="R178" s="227">
        <v>1</v>
      </c>
      <c r="S178" s="227">
        <v>1</v>
      </c>
      <c r="T178" s="227">
        <v>4761</v>
      </c>
      <c r="U178" s="227" t="s">
        <v>2140</v>
      </c>
    </row>
    <row r="179" spans="1:21" x14ac:dyDescent="0.25">
      <c r="A179" t="s">
        <v>2141</v>
      </c>
      <c r="B179">
        <v>46</v>
      </c>
      <c r="C179">
        <v>-0.23916037000000001</v>
      </c>
      <c r="D179">
        <v>-0.88010730000000004</v>
      </c>
      <c r="E179">
        <v>0.59753590000000001</v>
      </c>
      <c r="F179">
        <v>1</v>
      </c>
      <c r="G179">
        <v>1</v>
      </c>
      <c r="H179">
        <v>1380</v>
      </c>
      <c r="I179" t="s">
        <v>2142</v>
      </c>
      <c r="M179" s="227" t="s">
        <v>2141</v>
      </c>
      <c r="N179" s="227">
        <v>46</v>
      </c>
      <c r="O179" s="227">
        <v>-0.23916037000000001</v>
      </c>
      <c r="P179" s="227">
        <v>-0.88010730000000004</v>
      </c>
      <c r="Q179" s="227">
        <v>0.59753590000000001</v>
      </c>
      <c r="R179" s="227">
        <v>1</v>
      </c>
      <c r="S179" s="227">
        <v>1</v>
      </c>
      <c r="T179" s="227">
        <v>1380</v>
      </c>
      <c r="U179" s="227" t="s">
        <v>2142</v>
      </c>
    </row>
    <row r="180" spans="1:21" x14ac:dyDescent="0.25">
      <c r="A180" t="s">
        <v>2143</v>
      </c>
      <c r="B180">
        <v>18</v>
      </c>
      <c r="C180">
        <v>-0.28155210000000003</v>
      </c>
      <c r="D180">
        <v>-0.87462293999999996</v>
      </c>
      <c r="E180">
        <v>0.5964912</v>
      </c>
      <c r="F180">
        <v>1</v>
      </c>
      <c r="G180">
        <v>1</v>
      </c>
      <c r="H180">
        <v>2411</v>
      </c>
      <c r="I180" t="s">
        <v>1977</v>
      </c>
      <c r="M180" s="227" t="s">
        <v>2143</v>
      </c>
      <c r="N180" s="227">
        <v>18</v>
      </c>
      <c r="O180" s="227">
        <v>-0.28155210000000003</v>
      </c>
      <c r="P180" s="227">
        <v>-0.87462293999999996</v>
      </c>
      <c r="Q180" s="227">
        <v>0.5964912</v>
      </c>
      <c r="R180" s="227">
        <v>1</v>
      </c>
      <c r="S180" s="227">
        <v>1</v>
      </c>
      <c r="T180" s="227">
        <v>2411</v>
      </c>
      <c r="U180" s="227" t="s">
        <v>1977</v>
      </c>
    </row>
    <row r="181" spans="1:21" x14ac:dyDescent="0.25">
      <c r="A181" t="s">
        <v>2144</v>
      </c>
      <c r="B181">
        <v>103</v>
      </c>
      <c r="C181">
        <v>-0.19415959999999999</v>
      </c>
      <c r="D181">
        <v>-0.87180930000000001</v>
      </c>
      <c r="E181">
        <v>0.70299140000000004</v>
      </c>
      <c r="F181">
        <v>1</v>
      </c>
      <c r="G181">
        <v>1</v>
      </c>
      <c r="H181">
        <v>3051</v>
      </c>
      <c r="I181" t="s">
        <v>2145</v>
      </c>
      <c r="M181" s="227" t="s">
        <v>2144</v>
      </c>
      <c r="N181" s="227">
        <v>103</v>
      </c>
      <c r="O181" s="227">
        <v>-0.19415959999999999</v>
      </c>
      <c r="P181" s="227">
        <v>-0.87180930000000001</v>
      </c>
      <c r="Q181" s="227">
        <v>0.70299140000000004</v>
      </c>
      <c r="R181" s="227">
        <v>1</v>
      </c>
      <c r="S181" s="227">
        <v>1</v>
      </c>
      <c r="T181" s="227">
        <v>3051</v>
      </c>
      <c r="U181" s="227" t="s">
        <v>2145</v>
      </c>
    </row>
    <row r="182" spans="1:21" x14ac:dyDescent="0.25">
      <c r="A182" t="s">
        <v>2146</v>
      </c>
      <c r="B182">
        <v>31</v>
      </c>
      <c r="C182">
        <v>-0.24702093</v>
      </c>
      <c r="D182">
        <v>-0.87141776000000004</v>
      </c>
      <c r="E182">
        <v>0.63286005999999995</v>
      </c>
      <c r="F182">
        <v>1</v>
      </c>
      <c r="G182">
        <v>1</v>
      </c>
      <c r="H182">
        <v>1940</v>
      </c>
      <c r="I182" t="s">
        <v>2147</v>
      </c>
      <c r="M182" s="227" t="s">
        <v>2146</v>
      </c>
      <c r="N182" s="227">
        <v>31</v>
      </c>
      <c r="O182" s="227">
        <v>-0.24702093</v>
      </c>
      <c r="P182" s="227">
        <v>-0.87141776000000004</v>
      </c>
      <c r="Q182" s="227">
        <v>0.63286005999999995</v>
      </c>
      <c r="R182" s="227">
        <v>1</v>
      </c>
      <c r="S182" s="227">
        <v>1</v>
      </c>
      <c r="T182" s="227">
        <v>1940</v>
      </c>
      <c r="U182" s="227" t="s">
        <v>2147</v>
      </c>
    </row>
    <row r="183" spans="1:21" x14ac:dyDescent="0.25">
      <c r="A183" t="s">
        <v>2148</v>
      </c>
      <c r="B183">
        <v>17</v>
      </c>
      <c r="C183">
        <v>-0.28885223999999998</v>
      </c>
      <c r="D183">
        <v>-0.87102449999999998</v>
      </c>
      <c r="E183">
        <v>0.62725450000000005</v>
      </c>
      <c r="F183">
        <v>1</v>
      </c>
      <c r="G183">
        <v>1</v>
      </c>
      <c r="H183">
        <v>3922</v>
      </c>
      <c r="I183" t="s">
        <v>2149</v>
      </c>
      <c r="M183" s="227" t="s">
        <v>2148</v>
      </c>
      <c r="N183" s="227">
        <v>17</v>
      </c>
      <c r="O183" s="227">
        <v>-0.28885223999999998</v>
      </c>
      <c r="P183" s="227">
        <v>-0.87102449999999998</v>
      </c>
      <c r="Q183" s="227">
        <v>0.62725450000000005</v>
      </c>
      <c r="R183" s="227">
        <v>1</v>
      </c>
      <c r="S183" s="227">
        <v>1</v>
      </c>
      <c r="T183" s="227">
        <v>3922</v>
      </c>
      <c r="U183" s="227" t="s">
        <v>2149</v>
      </c>
    </row>
    <row r="184" spans="1:21" x14ac:dyDescent="0.25">
      <c r="A184" t="s">
        <v>2150</v>
      </c>
      <c r="B184">
        <v>145</v>
      </c>
      <c r="C184">
        <v>-0.18730119000000001</v>
      </c>
      <c r="D184">
        <v>-0.86885889999999999</v>
      </c>
      <c r="E184">
        <v>0.73747499999999999</v>
      </c>
      <c r="F184">
        <v>1</v>
      </c>
      <c r="G184">
        <v>1</v>
      </c>
      <c r="H184">
        <v>1748</v>
      </c>
      <c r="I184" t="s">
        <v>2151</v>
      </c>
      <c r="M184" s="227" t="s">
        <v>2150</v>
      </c>
      <c r="N184" s="227">
        <v>145</v>
      </c>
      <c r="O184" s="227">
        <v>-0.18730119000000001</v>
      </c>
      <c r="P184" s="227">
        <v>-0.86885889999999999</v>
      </c>
      <c r="Q184" s="227">
        <v>0.73747499999999999</v>
      </c>
      <c r="R184" s="227">
        <v>1</v>
      </c>
      <c r="S184" s="227">
        <v>1</v>
      </c>
      <c r="T184" s="227">
        <v>1748</v>
      </c>
      <c r="U184" s="227" t="s">
        <v>2151</v>
      </c>
    </row>
    <row r="185" spans="1:21" x14ac:dyDescent="0.25">
      <c r="A185" t="s">
        <v>2152</v>
      </c>
      <c r="B185">
        <v>146</v>
      </c>
      <c r="C185">
        <v>-0.18635850000000001</v>
      </c>
      <c r="D185">
        <v>-0.86769510000000005</v>
      </c>
      <c r="E185">
        <v>0.74603176000000004</v>
      </c>
      <c r="F185">
        <v>1</v>
      </c>
      <c r="G185">
        <v>1</v>
      </c>
      <c r="H185">
        <v>1748</v>
      </c>
      <c r="I185" t="s">
        <v>2151</v>
      </c>
      <c r="M185" s="227" t="s">
        <v>2152</v>
      </c>
      <c r="N185" s="227">
        <v>146</v>
      </c>
      <c r="O185" s="227">
        <v>-0.18635850000000001</v>
      </c>
      <c r="P185" s="227">
        <v>-0.86769510000000005</v>
      </c>
      <c r="Q185" s="227">
        <v>0.74603176000000004</v>
      </c>
      <c r="R185" s="227">
        <v>1</v>
      </c>
      <c r="S185" s="227">
        <v>1</v>
      </c>
      <c r="T185" s="227">
        <v>1748</v>
      </c>
      <c r="U185" s="227" t="s">
        <v>2151</v>
      </c>
    </row>
    <row r="186" spans="1:21" x14ac:dyDescent="0.25">
      <c r="A186" t="s">
        <v>2153</v>
      </c>
      <c r="B186">
        <v>70</v>
      </c>
      <c r="C186">
        <v>-0.21494774999999999</v>
      </c>
      <c r="D186">
        <v>-0.86578834000000005</v>
      </c>
      <c r="E186">
        <v>0.69347829999999999</v>
      </c>
      <c r="F186">
        <v>1</v>
      </c>
      <c r="G186">
        <v>1</v>
      </c>
      <c r="H186">
        <v>3447</v>
      </c>
      <c r="I186" t="s">
        <v>2154</v>
      </c>
      <c r="M186" s="227" t="s">
        <v>2153</v>
      </c>
      <c r="N186" s="227">
        <v>70</v>
      </c>
      <c r="O186" s="227">
        <v>-0.21494774999999999</v>
      </c>
      <c r="P186" s="227">
        <v>-0.86578834000000005</v>
      </c>
      <c r="Q186" s="227">
        <v>0.69347829999999999</v>
      </c>
      <c r="R186" s="227">
        <v>1</v>
      </c>
      <c r="S186" s="227">
        <v>1</v>
      </c>
      <c r="T186" s="227">
        <v>3447</v>
      </c>
      <c r="U186" s="227" t="s">
        <v>2154</v>
      </c>
    </row>
    <row r="187" spans="1:21" x14ac:dyDescent="0.25">
      <c r="A187" t="s">
        <v>2155</v>
      </c>
      <c r="B187">
        <v>37</v>
      </c>
      <c r="C187">
        <v>-0.23847334000000001</v>
      </c>
      <c r="D187">
        <v>-0.86501249999999996</v>
      </c>
      <c r="E187">
        <v>0.64185110000000001</v>
      </c>
      <c r="F187">
        <v>1</v>
      </c>
      <c r="G187">
        <v>1</v>
      </c>
      <c r="H187">
        <v>1211</v>
      </c>
      <c r="I187" t="s">
        <v>2156</v>
      </c>
      <c r="M187" s="227" t="s">
        <v>2155</v>
      </c>
      <c r="N187" s="227">
        <v>37</v>
      </c>
      <c r="O187" s="227">
        <v>-0.23847334000000001</v>
      </c>
      <c r="P187" s="227">
        <v>-0.86501249999999996</v>
      </c>
      <c r="Q187" s="227">
        <v>0.64185110000000001</v>
      </c>
      <c r="R187" s="227">
        <v>1</v>
      </c>
      <c r="S187" s="227">
        <v>1</v>
      </c>
      <c r="T187" s="227">
        <v>1211</v>
      </c>
      <c r="U187" s="227" t="s">
        <v>2156</v>
      </c>
    </row>
    <row r="188" spans="1:21" x14ac:dyDescent="0.25">
      <c r="A188" t="s">
        <v>2157</v>
      </c>
      <c r="B188">
        <v>49</v>
      </c>
      <c r="C188">
        <v>-0.20943497</v>
      </c>
      <c r="D188">
        <v>-0.85938214999999996</v>
      </c>
      <c r="E188">
        <v>0.74172187000000001</v>
      </c>
      <c r="F188">
        <v>1</v>
      </c>
      <c r="G188">
        <v>1</v>
      </c>
      <c r="H188">
        <v>2383</v>
      </c>
      <c r="I188" t="s">
        <v>2158</v>
      </c>
      <c r="M188" s="227" t="s">
        <v>2157</v>
      </c>
      <c r="N188" s="227">
        <v>49</v>
      </c>
      <c r="O188" s="227">
        <v>-0.20943497</v>
      </c>
      <c r="P188" s="227">
        <v>-0.85938214999999996</v>
      </c>
      <c r="Q188" s="227">
        <v>0.74172187000000001</v>
      </c>
      <c r="R188" s="227">
        <v>1</v>
      </c>
      <c r="S188" s="227">
        <v>1</v>
      </c>
      <c r="T188" s="227">
        <v>2383</v>
      </c>
      <c r="U188" s="227" t="s">
        <v>2158</v>
      </c>
    </row>
    <row r="189" spans="1:21" x14ac:dyDescent="0.25">
      <c r="A189" t="s">
        <v>2159</v>
      </c>
      <c r="B189">
        <v>115</v>
      </c>
      <c r="C189">
        <v>-0.1894671</v>
      </c>
      <c r="D189">
        <v>-0.85900927000000005</v>
      </c>
      <c r="E189">
        <v>0.73799999999999999</v>
      </c>
      <c r="F189">
        <v>1</v>
      </c>
      <c r="G189">
        <v>1</v>
      </c>
      <c r="H189">
        <v>1748</v>
      </c>
      <c r="I189" t="s">
        <v>2151</v>
      </c>
      <c r="M189" s="227" t="s">
        <v>2159</v>
      </c>
      <c r="N189" s="227">
        <v>115</v>
      </c>
      <c r="O189" s="227">
        <v>-0.1894671</v>
      </c>
      <c r="P189" s="227">
        <v>-0.85900927000000005</v>
      </c>
      <c r="Q189" s="227">
        <v>0.73799999999999999</v>
      </c>
      <c r="R189" s="227">
        <v>1</v>
      </c>
      <c r="S189" s="227">
        <v>1</v>
      </c>
      <c r="T189" s="227">
        <v>1748</v>
      </c>
      <c r="U189" s="227" t="s">
        <v>2151</v>
      </c>
    </row>
    <row r="190" spans="1:21" x14ac:dyDescent="0.25">
      <c r="A190" t="s">
        <v>2160</v>
      </c>
      <c r="B190">
        <v>212</v>
      </c>
      <c r="C190">
        <v>-0.22450524999999999</v>
      </c>
      <c r="D190">
        <v>-0.85783434000000003</v>
      </c>
      <c r="E190">
        <v>0.56404494999999999</v>
      </c>
      <c r="F190">
        <v>1</v>
      </c>
      <c r="G190">
        <v>1</v>
      </c>
      <c r="H190">
        <v>4168</v>
      </c>
      <c r="I190" t="s">
        <v>2161</v>
      </c>
      <c r="M190" s="227" t="s">
        <v>2160</v>
      </c>
      <c r="N190" s="227">
        <v>212</v>
      </c>
      <c r="O190" s="227">
        <v>-0.22450524999999999</v>
      </c>
      <c r="P190" s="227">
        <v>-0.85783434000000003</v>
      </c>
      <c r="Q190" s="227">
        <v>0.56404494999999999</v>
      </c>
      <c r="R190" s="227">
        <v>1</v>
      </c>
      <c r="S190" s="227">
        <v>1</v>
      </c>
      <c r="T190" s="227">
        <v>4168</v>
      </c>
      <c r="U190" s="227" t="s">
        <v>2161</v>
      </c>
    </row>
    <row r="191" spans="1:21" x14ac:dyDescent="0.25">
      <c r="A191" t="s">
        <v>2162</v>
      </c>
      <c r="B191">
        <v>16</v>
      </c>
      <c r="C191">
        <v>-0.31767561999999999</v>
      </c>
      <c r="D191">
        <v>-0.85453860000000004</v>
      </c>
      <c r="E191">
        <v>0.63146996</v>
      </c>
      <c r="F191">
        <v>1</v>
      </c>
      <c r="G191">
        <v>1</v>
      </c>
      <c r="H191">
        <v>1746</v>
      </c>
      <c r="I191" t="s">
        <v>2163</v>
      </c>
      <c r="M191" s="227" t="s">
        <v>2162</v>
      </c>
      <c r="N191" s="227">
        <v>16</v>
      </c>
      <c r="O191" s="227">
        <v>-0.31767561999999999</v>
      </c>
      <c r="P191" s="227">
        <v>-0.85453860000000004</v>
      </c>
      <c r="Q191" s="227">
        <v>0.63146996</v>
      </c>
      <c r="R191" s="227">
        <v>1</v>
      </c>
      <c r="S191" s="227">
        <v>1</v>
      </c>
      <c r="T191" s="227">
        <v>1746</v>
      </c>
      <c r="U191" s="227" t="s">
        <v>2163</v>
      </c>
    </row>
    <row r="192" spans="1:21" x14ac:dyDescent="0.25">
      <c r="A192" t="s">
        <v>2164</v>
      </c>
      <c r="B192">
        <v>67</v>
      </c>
      <c r="C192">
        <v>-0.21000901</v>
      </c>
      <c r="D192">
        <v>-0.85414349999999994</v>
      </c>
      <c r="E192">
        <v>0.69214874999999998</v>
      </c>
      <c r="F192">
        <v>1</v>
      </c>
      <c r="G192">
        <v>1</v>
      </c>
      <c r="H192">
        <v>3014</v>
      </c>
      <c r="I192" t="s">
        <v>2165</v>
      </c>
      <c r="M192" s="227" t="s">
        <v>2164</v>
      </c>
      <c r="N192" s="227">
        <v>67</v>
      </c>
      <c r="O192" s="227">
        <v>-0.21000901</v>
      </c>
      <c r="P192" s="227">
        <v>-0.85414349999999994</v>
      </c>
      <c r="Q192" s="227">
        <v>0.69214874999999998</v>
      </c>
      <c r="R192" s="227">
        <v>1</v>
      </c>
      <c r="S192" s="227">
        <v>1</v>
      </c>
      <c r="T192" s="227">
        <v>3014</v>
      </c>
      <c r="U192" s="227" t="s">
        <v>2165</v>
      </c>
    </row>
    <row r="193" spans="1:21" x14ac:dyDescent="0.25">
      <c r="A193" t="s">
        <v>2166</v>
      </c>
      <c r="B193">
        <v>32</v>
      </c>
      <c r="C193">
        <v>-0.27832904000000003</v>
      </c>
      <c r="D193">
        <v>-0.85388224999999995</v>
      </c>
      <c r="E193">
        <v>0.67105263000000004</v>
      </c>
      <c r="F193">
        <v>0.99652565000000004</v>
      </c>
      <c r="G193">
        <v>1</v>
      </c>
      <c r="H193">
        <v>4801</v>
      </c>
      <c r="I193" t="s">
        <v>2167</v>
      </c>
      <c r="M193" s="227" t="s">
        <v>2166</v>
      </c>
      <c r="N193" s="227">
        <v>32</v>
      </c>
      <c r="O193" s="227">
        <v>-0.27832904000000003</v>
      </c>
      <c r="P193" s="227">
        <v>-0.85388224999999995</v>
      </c>
      <c r="Q193" s="227">
        <v>0.67105263000000004</v>
      </c>
      <c r="R193" s="227">
        <v>0.99652565000000004</v>
      </c>
      <c r="S193" s="227">
        <v>1</v>
      </c>
      <c r="T193" s="227">
        <v>4801</v>
      </c>
      <c r="U193" s="227" t="s">
        <v>2167</v>
      </c>
    </row>
    <row r="194" spans="1:21" x14ac:dyDescent="0.25">
      <c r="A194" t="s">
        <v>2168</v>
      </c>
      <c r="B194">
        <v>308</v>
      </c>
      <c r="C194">
        <v>-0.18117507999999999</v>
      </c>
      <c r="D194">
        <v>-0.85144830000000005</v>
      </c>
      <c r="E194">
        <v>0.82022470000000003</v>
      </c>
      <c r="F194">
        <v>0.99691503999999997</v>
      </c>
      <c r="G194">
        <v>1</v>
      </c>
      <c r="H194">
        <v>2743</v>
      </c>
      <c r="I194" t="s">
        <v>2169</v>
      </c>
      <c r="M194" s="227" t="s">
        <v>2168</v>
      </c>
      <c r="N194" s="227">
        <v>308</v>
      </c>
      <c r="O194" s="227">
        <v>-0.18117507999999999</v>
      </c>
      <c r="P194" s="227">
        <v>-0.85144830000000005</v>
      </c>
      <c r="Q194" s="227">
        <v>0.82022470000000003</v>
      </c>
      <c r="R194" s="227">
        <v>0.99691503999999997</v>
      </c>
      <c r="S194" s="227">
        <v>1</v>
      </c>
      <c r="T194" s="227">
        <v>2743</v>
      </c>
      <c r="U194" s="227" t="s">
        <v>2169</v>
      </c>
    </row>
    <row r="195" spans="1:21" x14ac:dyDescent="0.25">
      <c r="A195" t="s">
        <v>2170</v>
      </c>
      <c r="B195">
        <v>31</v>
      </c>
      <c r="C195">
        <v>-0.27754074000000001</v>
      </c>
      <c r="D195">
        <v>-0.85114979999999996</v>
      </c>
      <c r="E195">
        <v>0.6798246</v>
      </c>
      <c r="F195">
        <v>0.99244239999999995</v>
      </c>
      <c r="G195">
        <v>1</v>
      </c>
      <c r="H195">
        <v>3881</v>
      </c>
      <c r="I195" t="s">
        <v>2171</v>
      </c>
      <c r="M195" s="227" t="s">
        <v>2170</v>
      </c>
      <c r="N195" s="227">
        <v>31</v>
      </c>
      <c r="O195" s="227">
        <v>-0.27754074000000001</v>
      </c>
      <c r="P195" s="227">
        <v>-0.85114979999999996</v>
      </c>
      <c r="Q195" s="227">
        <v>0.6798246</v>
      </c>
      <c r="R195" s="227">
        <v>0.99244239999999995</v>
      </c>
      <c r="S195" s="227">
        <v>1</v>
      </c>
      <c r="T195" s="227">
        <v>3881</v>
      </c>
      <c r="U195" s="227" t="s">
        <v>2171</v>
      </c>
    </row>
    <row r="196" spans="1:21" x14ac:dyDescent="0.25">
      <c r="A196" t="s">
        <v>2172</v>
      </c>
      <c r="B196">
        <v>19</v>
      </c>
      <c r="C196">
        <v>-0.24531822</v>
      </c>
      <c r="D196">
        <v>-0.85044509999999995</v>
      </c>
      <c r="E196">
        <v>0.70129870000000005</v>
      </c>
      <c r="F196">
        <v>0.98887676000000002</v>
      </c>
      <c r="G196">
        <v>1</v>
      </c>
      <c r="H196">
        <v>1492</v>
      </c>
      <c r="I196" t="s">
        <v>2173</v>
      </c>
      <c r="M196" s="227" t="s">
        <v>2172</v>
      </c>
      <c r="N196" s="227">
        <v>19</v>
      </c>
      <c r="O196" s="227">
        <v>-0.24531822</v>
      </c>
      <c r="P196" s="227">
        <v>-0.85044509999999995</v>
      </c>
      <c r="Q196" s="227">
        <v>0.70129870000000005</v>
      </c>
      <c r="R196" s="227">
        <v>0.98887676000000002</v>
      </c>
      <c r="S196" s="227">
        <v>1</v>
      </c>
      <c r="T196" s="227">
        <v>1492</v>
      </c>
      <c r="U196" s="227" t="s">
        <v>2173</v>
      </c>
    </row>
    <row r="197" spans="1:21" x14ac:dyDescent="0.25">
      <c r="A197" t="s">
        <v>2174</v>
      </c>
      <c r="B197">
        <v>28</v>
      </c>
      <c r="C197">
        <v>-0.26862845000000002</v>
      </c>
      <c r="D197">
        <v>-0.84417427</v>
      </c>
      <c r="E197">
        <v>0.66480446000000004</v>
      </c>
      <c r="F197">
        <v>0.99820476999999996</v>
      </c>
      <c r="G197">
        <v>1</v>
      </c>
      <c r="H197">
        <v>1165</v>
      </c>
      <c r="I197" t="s">
        <v>2175</v>
      </c>
      <c r="M197" s="227" t="s">
        <v>2174</v>
      </c>
      <c r="N197" s="227">
        <v>28</v>
      </c>
      <c r="O197" s="227">
        <v>-0.26862845000000002</v>
      </c>
      <c r="P197" s="227">
        <v>-0.84417427</v>
      </c>
      <c r="Q197" s="227">
        <v>0.66480446000000004</v>
      </c>
      <c r="R197" s="227">
        <v>0.99820476999999996</v>
      </c>
      <c r="S197" s="227">
        <v>1</v>
      </c>
      <c r="T197" s="227">
        <v>1165</v>
      </c>
      <c r="U197" s="227" t="s">
        <v>2175</v>
      </c>
    </row>
    <row r="198" spans="1:21" x14ac:dyDescent="0.25">
      <c r="A198" t="s">
        <v>2176</v>
      </c>
      <c r="B198">
        <v>48</v>
      </c>
      <c r="C198">
        <v>-0.22564351999999999</v>
      </c>
      <c r="D198">
        <v>-0.84340185000000001</v>
      </c>
      <c r="E198">
        <v>0.69722812999999995</v>
      </c>
      <c r="F198">
        <v>0.99484974000000004</v>
      </c>
      <c r="G198">
        <v>1</v>
      </c>
      <c r="H198">
        <v>2077</v>
      </c>
      <c r="I198" t="s">
        <v>2102</v>
      </c>
      <c r="M198" s="227" t="s">
        <v>2176</v>
      </c>
      <c r="N198" s="227">
        <v>48</v>
      </c>
      <c r="O198" s="227">
        <v>-0.22564351999999999</v>
      </c>
      <c r="P198" s="227">
        <v>-0.84340185000000001</v>
      </c>
      <c r="Q198" s="227">
        <v>0.69722812999999995</v>
      </c>
      <c r="R198" s="227">
        <v>0.99484974000000004</v>
      </c>
      <c r="S198" s="227">
        <v>1</v>
      </c>
      <c r="T198" s="227">
        <v>2077</v>
      </c>
      <c r="U198" s="227" t="s">
        <v>2102</v>
      </c>
    </row>
    <row r="199" spans="1:21" x14ac:dyDescent="0.25">
      <c r="A199" t="s">
        <v>2177</v>
      </c>
      <c r="B199">
        <v>15</v>
      </c>
      <c r="C199">
        <v>-0.28559119999999999</v>
      </c>
      <c r="D199">
        <v>-0.83699875999999995</v>
      </c>
      <c r="E199">
        <v>0.66874999999999996</v>
      </c>
      <c r="F199">
        <v>1</v>
      </c>
      <c r="G199">
        <v>1</v>
      </c>
      <c r="H199">
        <v>12456</v>
      </c>
      <c r="I199" t="s">
        <v>2178</v>
      </c>
      <c r="M199" s="227" t="s">
        <v>2177</v>
      </c>
      <c r="N199" s="227">
        <v>15</v>
      </c>
      <c r="O199" s="227">
        <v>-0.28559119999999999</v>
      </c>
      <c r="P199" s="227">
        <v>-0.83699875999999995</v>
      </c>
      <c r="Q199" s="227">
        <v>0.66874999999999996</v>
      </c>
      <c r="R199" s="227">
        <v>1</v>
      </c>
      <c r="S199" s="227">
        <v>1</v>
      </c>
      <c r="T199" s="227">
        <v>12456</v>
      </c>
      <c r="U199" s="227" t="s">
        <v>2178</v>
      </c>
    </row>
    <row r="200" spans="1:21" x14ac:dyDescent="0.25">
      <c r="A200" t="s">
        <v>2179</v>
      </c>
      <c r="B200">
        <v>30</v>
      </c>
      <c r="C200">
        <v>-0.27443123000000003</v>
      </c>
      <c r="D200">
        <v>-0.83440745000000005</v>
      </c>
      <c r="E200">
        <v>0.68049793999999997</v>
      </c>
      <c r="F200">
        <v>1</v>
      </c>
      <c r="G200">
        <v>1</v>
      </c>
      <c r="H200">
        <v>5114</v>
      </c>
      <c r="I200" t="s">
        <v>2180</v>
      </c>
      <c r="M200" s="227" t="s">
        <v>2179</v>
      </c>
      <c r="N200" s="227">
        <v>30</v>
      </c>
      <c r="O200" s="227">
        <v>-0.27443123000000003</v>
      </c>
      <c r="P200" s="227">
        <v>-0.83440745000000005</v>
      </c>
      <c r="Q200" s="227">
        <v>0.68049793999999997</v>
      </c>
      <c r="R200" s="227">
        <v>1</v>
      </c>
      <c r="S200" s="227">
        <v>1</v>
      </c>
      <c r="T200" s="227">
        <v>5114</v>
      </c>
      <c r="U200" s="227" t="s">
        <v>2180</v>
      </c>
    </row>
    <row r="201" spans="1:21" x14ac:dyDescent="0.25">
      <c r="A201" t="s">
        <v>2181</v>
      </c>
      <c r="B201">
        <v>25</v>
      </c>
      <c r="C201">
        <v>-0.22749743</v>
      </c>
      <c r="D201">
        <v>-0.83216029999999996</v>
      </c>
      <c r="E201">
        <v>0.72154474000000002</v>
      </c>
      <c r="F201">
        <v>1</v>
      </c>
      <c r="G201">
        <v>1</v>
      </c>
      <c r="H201">
        <v>3105</v>
      </c>
      <c r="I201" t="s">
        <v>2182</v>
      </c>
      <c r="M201" s="227" t="s">
        <v>2181</v>
      </c>
      <c r="N201" s="227">
        <v>25</v>
      </c>
      <c r="O201" s="227">
        <v>-0.22749743</v>
      </c>
      <c r="P201" s="227">
        <v>-0.83216029999999996</v>
      </c>
      <c r="Q201" s="227">
        <v>0.72154474000000002</v>
      </c>
      <c r="R201" s="227">
        <v>1</v>
      </c>
      <c r="S201" s="227">
        <v>1</v>
      </c>
      <c r="T201" s="227">
        <v>3105</v>
      </c>
      <c r="U201" s="227" t="s">
        <v>2182</v>
      </c>
    </row>
    <row r="202" spans="1:21" x14ac:dyDescent="0.25">
      <c r="A202" t="s">
        <v>2183</v>
      </c>
      <c r="B202">
        <v>29</v>
      </c>
      <c r="C202">
        <v>-0.23882934</v>
      </c>
      <c r="D202">
        <v>-0.82742110000000002</v>
      </c>
      <c r="E202">
        <v>0.73640170000000005</v>
      </c>
      <c r="F202">
        <v>1</v>
      </c>
      <c r="G202">
        <v>1</v>
      </c>
      <c r="H202">
        <v>3313</v>
      </c>
      <c r="I202" t="s">
        <v>2184</v>
      </c>
      <c r="M202" s="227" t="s">
        <v>2183</v>
      </c>
      <c r="N202" s="227">
        <v>29</v>
      </c>
      <c r="O202" s="227">
        <v>-0.23882934</v>
      </c>
      <c r="P202" s="227">
        <v>-0.82742110000000002</v>
      </c>
      <c r="Q202" s="227">
        <v>0.73640170000000005</v>
      </c>
      <c r="R202" s="227">
        <v>1</v>
      </c>
      <c r="S202" s="227">
        <v>1</v>
      </c>
      <c r="T202" s="227">
        <v>3313</v>
      </c>
      <c r="U202" s="227" t="s">
        <v>2184</v>
      </c>
    </row>
    <row r="203" spans="1:21" x14ac:dyDescent="0.25">
      <c r="A203" t="s">
        <v>2185</v>
      </c>
      <c r="B203">
        <v>52</v>
      </c>
      <c r="C203">
        <v>-0.20743502999999999</v>
      </c>
      <c r="D203">
        <v>-0.8263201</v>
      </c>
      <c r="E203">
        <v>0.78366446000000001</v>
      </c>
      <c r="F203">
        <v>1</v>
      </c>
      <c r="G203">
        <v>1</v>
      </c>
      <c r="H203">
        <v>3193</v>
      </c>
      <c r="I203" t="s">
        <v>2186</v>
      </c>
      <c r="M203" s="227" t="s">
        <v>2185</v>
      </c>
      <c r="N203" s="227">
        <v>52</v>
      </c>
      <c r="O203" s="227">
        <v>-0.20743502999999999</v>
      </c>
      <c r="P203" s="227">
        <v>-0.8263201</v>
      </c>
      <c r="Q203" s="227">
        <v>0.78366446000000001</v>
      </c>
      <c r="R203" s="227">
        <v>1</v>
      </c>
      <c r="S203" s="227">
        <v>1</v>
      </c>
      <c r="T203" s="227">
        <v>3193</v>
      </c>
      <c r="U203" s="227" t="s">
        <v>2186</v>
      </c>
    </row>
    <row r="204" spans="1:21" x14ac:dyDescent="0.25">
      <c r="A204" t="s">
        <v>2187</v>
      </c>
      <c r="B204">
        <v>351</v>
      </c>
      <c r="C204">
        <v>-0.17652696000000001</v>
      </c>
      <c r="D204">
        <v>-0.82020630000000005</v>
      </c>
      <c r="E204">
        <v>0.87755099999999997</v>
      </c>
      <c r="F204">
        <v>1</v>
      </c>
      <c r="G204">
        <v>1</v>
      </c>
      <c r="H204">
        <v>2743</v>
      </c>
      <c r="I204" t="s">
        <v>2169</v>
      </c>
      <c r="M204" s="227" t="s">
        <v>2187</v>
      </c>
      <c r="N204" s="227">
        <v>351</v>
      </c>
      <c r="O204" s="227">
        <v>-0.17652696000000001</v>
      </c>
      <c r="P204" s="227">
        <v>-0.82020630000000005</v>
      </c>
      <c r="Q204" s="227">
        <v>0.87755099999999997</v>
      </c>
      <c r="R204" s="227">
        <v>1</v>
      </c>
      <c r="S204" s="227">
        <v>1</v>
      </c>
      <c r="T204" s="227">
        <v>2743</v>
      </c>
      <c r="U204" s="227" t="s">
        <v>2169</v>
      </c>
    </row>
    <row r="205" spans="1:21" x14ac:dyDescent="0.25">
      <c r="A205" t="s">
        <v>2188</v>
      </c>
      <c r="B205">
        <v>17</v>
      </c>
      <c r="C205">
        <v>-0.26122840000000003</v>
      </c>
      <c r="D205">
        <v>-0.81847376000000005</v>
      </c>
      <c r="E205">
        <v>0.70682730000000005</v>
      </c>
      <c r="F205">
        <v>1</v>
      </c>
      <c r="G205">
        <v>1</v>
      </c>
      <c r="H205">
        <v>1604</v>
      </c>
      <c r="I205" t="s">
        <v>2126</v>
      </c>
      <c r="M205" s="227" t="s">
        <v>2188</v>
      </c>
      <c r="N205" s="227">
        <v>17</v>
      </c>
      <c r="O205" s="227">
        <v>-0.26122840000000003</v>
      </c>
      <c r="P205" s="227">
        <v>-0.81847376000000005</v>
      </c>
      <c r="Q205" s="227">
        <v>0.70682730000000005</v>
      </c>
      <c r="R205" s="227">
        <v>1</v>
      </c>
      <c r="S205" s="227">
        <v>1</v>
      </c>
      <c r="T205" s="227">
        <v>1604</v>
      </c>
      <c r="U205" s="227" t="s">
        <v>2126</v>
      </c>
    </row>
    <row r="206" spans="1:21" x14ac:dyDescent="0.25">
      <c r="A206" t="s">
        <v>2189</v>
      </c>
      <c r="B206">
        <v>23</v>
      </c>
      <c r="C206">
        <v>-0.23978567000000001</v>
      </c>
      <c r="D206">
        <v>-0.81789210000000001</v>
      </c>
      <c r="E206">
        <v>0.72540987000000001</v>
      </c>
      <c r="F206">
        <v>1</v>
      </c>
      <c r="G206">
        <v>1</v>
      </c>
      <c r="H206">
        <v>3795</v>
      </c>
      <c r="I206" t="s">
        <v>2190</v>
      </c>
      <c r="M206" s="227" t="s">
        <v>2189</v>
      </c>
      <c r="N206" s="227">
        <v>23</v>
      </c>
      <c r="O206" s="227">
        <v>-0.23978567000000001</v>
      </c>
      <c r="P206" s="227">
        <v>-0.81789210000000001</v>
      </c>
      <c r="Q206" s="227">
        <v>0.72540987000000001</v>
      </c>
      <c r="R206" s="227">
        <v>1</v>
      </c>
      <c r="S206" s="227">
        <v>1</v>
      </c>
      <c r="T206" s="227">
        <v>3795</v>
      </c>
      <c r="U206" s="227" t="s">
        <v>2190</v>
      </c>
    </row>
    <row r="207" spans="1:21" x14ac:dyDescent="0.25">
      <c r="A207" t="s">
        <v>2191</v>
      </c>
      <c r="B207">
        <v>18</v>
      </c>
      <c r="C207">
        <v>-0.25804244999999998</v>
      </c>
      <c r="D207">
        <v>-0.81540820000000003</v>
      </c>
      <c r="E207">
        <v>0.7336066</v>
      </c>
      <c r="F207">
        <v>1</v>
      </c>
      <c r="G207">
        <v>1</v>
      </c>
      <c r="H207">
        <v>4778</v>
      </c>
      <c r="I207" t="s">
        <v>2192</v>
      </c>
      <c r="M207" s="227" t="s">
        <v>2191</v>
      </c>
      <c r="N207" s="227">
        <v>18</v>
      </c>
      <c r="O207" s="227">
        <v>-0.25804244999999998</v>
      </c>
      <c r="P207" s="227">
        <v>-0.81540820000000003</v>
      </c>
      <c r="Q207" s="227">
        <v>0.7336066</v>
      </c>
      <c r="R207" s="227">
        <v>1</v>
      </c>
      <c r="S207" s="227">
        <v>1</v>
      </c>
      <c r="T207" s="227">
        <v>4778</v>
      </c>
      <c r="U207" s="227" t="s">
        <v>2192</v>
      </c>
    </row>
    <row r="208" spans="1:21" x14ac:dyDescent="0.25">
      <c r="A208" t="s">
        <v>2193</v>
      </c>
      <c r="B208">
        <v>29</v>
      </c>
      <c r="C208">
        <v>-0.26139444000000001</v>
      </c>
      <c r="D208">
        <v>-0.81532530000000003</v>
      </c>
      <c r="E208">
        <v>0.69960475</v>
      </c>
      <c r="F208">
        <v>1</v>
      </c>
      <c r="G208">
        <v>1</v>
      </c>
      <c r="H208">
        <v>2864</v>
      </c>
      <c r="I208" t="s">
        <v>2054</v>
      </c>
      <c r="M208" s="227" t="s">
        <v>2193</v>
      </c>
      <c r="N208" s="227">
        <v>29</v>
      </c>
      <c r="O208" s="227">
        <v>-0.26139444000000001</v>
      </c>
      <c r="P208" s="227">
        <v>-0.81532530000000003</v>
      </c>
      <c r="Q208" s="227">
        <v>0.69960475</v>
      </c>
      <c r="R208" s="227">
        <v>1</v>
      </c>
      <c r="S208" s="227">
        <v>1</v>
      </c>
      <c r="T208" s="227">
        <v>2864</v>
      </c>
      <c r="U208" s="227" t="s">
        <v>2054</v>
      </c>
    </row>
    <row r="209" spans="1:21" x14ac:dyDescent="0.25">
      <c r="A209" t="s">
        <v>2194</v>
      </c>
      <c r="B209">
        <v>19</v>
      </c>
      <c r="C209">
        <v>-0.29495179999999999</v>
      </c>
      <c r="D209">
        <v>-0.81189054000000005</v>
      </c>
      <c r="E209">
        <v>0.66531439999999997</v>
      </c>
      <c r="F209">
        <v>1</v>
      </c>
      <c r="G209">
        <v>1</v>
      </c>
      <c r="H209">
        <v>2130</v>
      </c>
      <c r="I209" t="s">
        <v>2195</v>
      </c>
      <c r="M209" s="227" t="s">
        <v>2194</v>
      </c>
      <c r="N209" s="227">
        <v>19</v>
      </c>
      <c r="O209" s="227">
        <v>-0.29495179999999999</v>
      </c>
      <c r="P209" s="227">
        <v>-0.81189054000000005</v>
      </c>
      <c r="Q209" s="227">
        <v>0.66531439999999997</v>
      </c>
      <c r="R209" s="227">
        <v>1</v>
      </c>
      <c r="S209" s="227">
        <v>1</v>
      </c>
      <c r="T209" s="227">
        <v>2130</v>
      </c>
      <c r="U209" s="227" t="s">
        <v>2195</v>
      </c>
    </row>
    <row r="210" spans="1:21" x14ac:dyDescent="0.25">
      <c r="A210" t="s">
        <v>2196</v>
      </c>
      <c r="B210">
        <v>16</v>
      </c>
      <c r="C210">
        <v>-0.28766017999999999</v>
      </c>
      <c r="D210">
        <v>-0.80816980000000005</v>
      </c>
      <c r="E210">
        <v>0.74159664000000003</v>
      </c>
      <c r="F210">
        <v>1</v>
      </c>
      <c r="G210">
        <v>1</v>
      </c>
      <c r="H210">
        <v>2069</v>
      </c>
      <c r="I210" t="s">
        <v>2197</v>
      </c>
      <c r="M210" s="227" t="s">
        <v>2196</v>
      </c>
      <c r="N210" s="227">
        <v>16</v>
      </c>
      <c r="O210" s="227">
        <v>-0.28766017999999999</v>
      </c>
      <c r="P210" s="227">
        <v>-0.80816980000000005</v>
      </c>
      <c r="Q210" s="227">
        <v>0.74159664000000003</v>
      </c>
      <c r="R210" s="227">
        <v>1</v>
      </c>
      <c r="S210" s="227">
        <v>1</v>
      </c>
      <c r="T210" s="227">
        <v>2069</v>
      </c>
      <c r="U210" s="227" t="s">
        <v>2197</v>
      </c>
    </row>
    <row r="211" spans="1:21" x14ac:dyDescent="0.25">
      <c r="A211" t="s">
        <v>2198</v>
      </c>
      <c r="B211">
        <v>215</v>
      </c>
      <c r="C211">
        <v>-0.17039077999999999</v>
      </c>
      <c r="D211">
        <v>-0.80430776000000004</v>
      </c>
      <c r="E211">
        <v>0.79083663000000004</v>
      </c>
      <c r="F211">
        <v>1</v>
      </c>
      <c r="G211">
        <v>1</v>
      </c>
      <c r="H211">
        <v>2797</v>
      </c>
      <c r="I211" t="s">
        <v>2199</v>
      </c>
      <c r="M211" s="227" t="s">
        <v>2198</v>
      </c>
      <c r="N211" s="227">
        <v>215</v>
      </c>
      <c r="O211" s="227">
        <v>-0.17039077999999999</v>
      </c>
      <c r="P211" s="227">
        <v>-0.80430776000000004</v>
      </c>
      <c r="Q211" s="227">
        <v>0.79083663000000004</v>
      </c>
      <c r="R211" s="227">
        <v>1</v>
      </c>
      <c r="S211" s="227">
        <v>1</v>
      </c>
      <c r="T211" s="227">
        <v>2797</v>
      </c>
      <c r="U211" s="227" t="s">
        <v>2199</v>
      </c>
    </row>
    <row r="212" spans="1:21" x14ac:dyDescent="0.25">
      <c r="A212" t="s">
        <v>2200</v>
      </c>
      <c r="B212">
        <v>75</v>
      </c>
      <c r="C212">
        <v>-0.19145137000000001</v>
      </c>
      <c r="D212">
        <v>-0.80430170000000001</v>
      </c>
      <c r="E212">
        <v>0.80133927000000005</v>
      </c>
      <c r="F212">
        <v>1</v>
      </c>
      <c r="G212">
        <v>1</v>
      </c>
      <c r="H212">
        <v>3254</v>
      </c>
      <c r="I212" t="s">
        <v>2201</v>
      </c>
      <c r="M212" s="227" t="s">
        <v>2200</v>
      </c>
      <c r="N212" s="227">
        <v>75</v>
      </c>
      <c r="O212" s="227">
        <v>-0.19145137000000001</v>
      </c>
      <c r="P212" s="227">
        <v>-0.80430170000000001</v>
      </c>
      <c r="Q212" s="227">
        <v>0.80133927000000005</v>
      </c>
      <c r="R212" s="227">
        <v>1</v>
      </c>
      <c r="S212" s="227">
        <v>1</v>
      </c>
      <c r="T212" s="227">
        <v>3254</v>
      </c>
      <c r="U212" s="227" t="s">
        <v>2201</v>
      </c>
    </row>
    <row r="213" spans="1:21" x14ac:dyDescent="0.25">
      <c r="A213" t="s">
        <v>2202</v>
      </c>
      <c r="B213">
        <v>182</v>
      </c>
      <c r="C213">
        <v>-0.18455940000000001</v>
      </c>
      <c r="D213">
        <v>-0.80205053000000004</v>
      </c>
      <c r="E213">
        <v>0.79130434999999999</v>
      </c>
      <c r="F213">
        <v>1</v>
      </c>
      <c r="G213">
        <v>1</v>
      </c>
      <c r="H213">
        <v>3024</v>
      </c>
      <c r="I213" t="s">
        <v>2203</v>
      </c>
      <c r="M213" s="227" t="s">
        <v>2202</v>
      </c>
      <c r="N213" s="227">
        <v>182</v>
      </c>
      <c r="O213" s="227">
        <v>-0.18455940000000001</v>
      </c>
      <c r="P213" s="227">
        <v>-0.80205053000000004</v>
      </c>
      <c r="Q213" s="227">
        <v>0.79130434999999999</v>
      </c>
      <c r="R213" s="227">
        <v>1</v>
      </c>
      <c r="S213" s="227">
        <v>1</v>
      </c>
      <c r="T213" s="227">
        <v>3024</v>
      </c>
      <c r="U213" s="227" t="s">
        <v>2203</v>
      </c>
    </row>
    <row r="214" spans="1:21" x14ac:dyDescent="0.25">
      <c r="A214" t="s">
        <v>2204</v>
      </c>
      <c r="B214">
        <v>20</v>
      </c>
      <c r="C214">
        <v>-0.24113023</v>
      </c>
      <c r="D214">
        <v>-0.79653655999999995</v>
      </c>
      <c r="E214">
        <v>0.74722840000000001</v>
      </c>
      <c r="F214">
        <v>1</v>
      </c>
      <c r="G214">
        <v>1</v>
      </c>
      <c r="H214">
        <v>4626</v>
      </c>
      <c r="I214" t="s">
        <v>2205</v>
      </c>
      <c r="M214" s="227" t="s">
        <v>2204</v>
      </c>
      <c r="N214" s="227">
        <v>20</v>
      </c>
      <c r="O214" s="227">
        <v>-0.24113023</v>
      </c>
      <c r="P214" s="227">
        <v>-0.79653655999999995</v>
      </c>
      <c r="Q214" s="227">
        <v>0.74722840000000001</v>
      </c>
      <c r="R214" s="227">
        <v>1</v>
      </c>
      <c r="S214" s="227">
        <v>1</v>
      </c>
      <c r="T214" s="227">
        <v>4626</v>
      </c>
      <c r="U214" s="227" t="s">
        <v>2205</v>
      </c>
    </row>
    <row r="215" spans="1:21" x14ac:dyDescent="0.25">
      <c r="A215" t="s">
        <v>2206</v>
      </c>
      <c r="B215">
        <v>28</v>
      </c>
      <c r="C215">
        <v>-0.22756197</v>
      </c>
      <c r="D215">
        <v>-0.79534656000000004</v>
      </c>
      <c r="E215">
        <v>0.79361700000000002</v>
      </c>
      <c r="F215">
        <v>1</v>
      </c>
      <c r="G215">
        <v>1</v>
      </c>
      <c r="H215">
        <v>2596</v>
      </c>
      <c r="I215" t="s">
        <v>2207</v>
      </c>
      <c r="M215" s="227" t="s">
        <v>2206</v>
      </c>
      <c r="N215" s="227">
        <v>28</v>
      </c>
      <c r="O215" s="227">
        <v>-0.22756197</v>
      </c>
      <c r="P215" s="227">
        <v>-0.79534656000000004</v>
      </c>
      <c r="Q215" s="227">
        <v>0.79361700000000002</v>
      </c>
      <c r="R215" s="227">
        <v>1</v>
      </c>
      <c r="S215" s="227">
        <v>1</v>
      </c>
      <c r="T215" s="227">
        <v>2596</v>
      </c>
      <c r="U215" s="227" t="s">
        <v>2207</v>
      </c>
    </row>
    <row r="216" spans="1:21" x14ac:dyDescent="0.25">
      <c r="A216" t="s">
        <v>2208</v>
      </c>
      <c r="B216">
        <v>27</v>
      </c>
      <c r="C216">
        <v>-0.22983496</v>
      </c>
      <c r="D216">
        <v>-0.79096200000000005</v>
      </c>
      <c r="E216">
        <v>0.8201754</v>
      </c>
      <c r="F216">
        <v>1</v>
      </c>
      <c r="G216">
        <v>1</v>
      </c>
      <c r="H216">
        <v>2596</v>
      </c>
      <c r="I216" t="s">
        <v>2209</v>
      </c>
      <c r="M216" s="227" t="s">
        <v>2208</v>
      </c>
      <c r="N216" s="227">
        <v>27</v>
      </c>
      <c r="O216" s="227">
        <v>-0.22983496</v>
      </c>
      <c r="P216" s="227">
        <v>-0.79096200000000005</v>
      </c>
      <c r="Q216" s="227">
        <v>0.8201754</v>
      </c>
      <c r="R216" s="227">
        <v>1</v>
      </c>
      <c r="S216" s="227">
        <v>1</v>
      </c>
      <c r="T216" s="227">
        <v>2596</v>
      </c>
      <c r="U216" s="227" t="s">
        <v>2209</v>
      </c>
    </row>
    <row r="217" spans="1:21" x14ac:dyDescent="0.25">
      <c r="A217" t="s">
        <v>2210</v>
      </c>
      <c r="B217">
        <v>55</v>
      </c>
      <c r="C217">
        <v>-0.22279874999999999</v>
      </c>
      <c r="D217">
        <v>-0.79064374999999998</v>
      </c>
      <c r="E217">
        <v>0.68503934</v>
      </c>
      <c r="F217">
        <v>1</v>
      </c>
      <c r="G217">
        <v>1</v>
      </c>
      <c r="H217">
        <v>4778</v>
      </c>
      <c r="I217" t="s">
        <v>2211</v>
      </c>
      <c r="M217" s="227" t="s">
        <v>2210</v>
      </c>
      <c r="N217" s="227">
        <v>55</v>
      </c>
      <c r="O217" s="227">
        <v>-0.22279874999999999</v>
      </c>
      <c r="P217" s="227">
        <v>-0.79064374999999998</v>
      </c>
      <c r="Q217" s="227">
        <v>0.68503934</v>
      </c>
      <c r="R217" s="227">
        <v>1</v>
      </c>
      <c r="S217" s="227">
        <v>1</v>
      </c>
      <c r="T217" s="227">
        <v>4778</v>
      </c>
      <c r="U217" s="227" t="s">
        <v>2211</v>
      </c>
    </row>
    <row r="218" spans="1:21" x14ac:dyDescent="0.25">
      <c r="A218" t="s">
        <v>2212</v>
      </c>
      <c r="B218">
        <v>25</v>
      </c>
      <c r="C218">
        <v>-0.23864669999999999</v>
      </c>
      <c r="D218">
        <v>-0.79016120000000001</v>
      </c>
      <c r="E218">
        <v>0.795045</v>
      </c>
      <c r="F218">
        <v>1</v>
      </c>
      <c r="G218">
        <v>1</v>
      </c>
      <c r="H218">
        <v>1911</v>
      </c>
      <c r="I218" t="s">
        <v>2213</v>
      </c>
      <c r="M218" s="227" t="s">
        <v>2212</v>
      </c>
      <c r="N218" s="227">
        <v>25</v>
      </c>
      <c r="O218" s="227">
        <v>-0.23864669999999999</v>
      </c>
      <c r="P218" s="227">
        <v>-0.79016120000000001</v>
      </c>
      <c r="Q218" s="227">
        <v>0.795045</v>
      </c>
      <c r="R218" s="227">
        <v>1</v>
      </c>
      <c r="S218" s="227">
        <v>1</v>
      </c>
      <c r="T218" s="227">
        <v>1911</v>
      </c>
      <c r="U218" s="227" t="s">
        <v>2213</v>
      </c>
    </row>
    <row r="219" spans="1:21" x14ac:dyDescent="0.25">
      <c r="A219" t="s">
        <v>2214</v>
      </c>
      <c r="B219">
        <v>245</v>
      </c>
      <c r="C219">
        <v>-0.19894722000000001</v>
      </c>
      <c r="D219">
        <v>-0.77733220000000003</v>
      </c>
      <c r="E219">
        <v>0.6928105</v>
      </c>
      <c r="F219">
        <v>1</v>
      </c>
      <c r="G219">
        <v>1</v>
      </c>
      <c r="H219">
        <v>3090</v>
      </c>
      <c r="I219" t="s">
        <v>2215</v>
      </c>
      <c r="M219" s="227" t="s">
        <v>2214</v>
      </c>
      <c r="N219" s="227">
        <v>245</v>
      </c>
      <c r="O219" s="227">
        <v>-0.19894722000000001</v>
      </c>
      <c r="P219" s="227">
        <v>-0.77733220000000003</v>
      </c>
      <c r="Q219" s="227">
        <v>0.6928105</v>
      </c>
      <c r="R219" s="227">
        <v>1</v>
      </c>
      <c r="S219" s="227">
        <v>1</v>
      </c>
      <c r="T219" s="227">
        <v>3090</v>
      </c>
      <c r="U219" s="227" t="s">
        <v>2215</v>
      </c>
    </row>
    <row r="220" spans="1:21" x14ac:dyDescent="0.25">
      <c r="A220" t="s">
        <v>2216</v>
      </c>
      <c r="B220">
        <v>35</v>
      </c>
      <c r="C220">
        <v>-0.23392557</v>
      </c>
      <c r="D220">
        <v>-0.77727060000000003</v>
      </c>
      <c r="E220">
        <v>0.75757574999999999</v>
      </c>
      <c r="F220">
        <v>1</v>
      </c>
      <c r="G220">
        <v>1</v>
      </c>
      <c r="H220">
        <v>3177</v>
      </c>
      <c r="I220" t="s">
        <v>2050</v>
      </c>
      <c r="M220" s="227" t="s">
        <v>2216</v>
      </c>
      <c r="N220" s="227">
        <v>35</v>
      </c>
      <c r="O220" s="227">
        <v>-0.23392557</v>
      </c>
      <c r="P220" s="227">
        <v>-0.77727060000000003</v>
      </c>
      <c r="Q220" s="227">
        <v>0.75757574999999999</v>
      </c>
      <c r="R220" s="227">
        <v>1</v>
      </c>
      <c r="S220" s="227">
        <v>1</v>
      </c>
      <c r="T220" s="227">
        <v>3177</v>
      </c>
      <c r="U220" s="227" t="s">
        <v>2050</v>
      </c>
    </row>
    <row r="221" spans="1:21" x14ac:dyDescent="0.25">
      <c r="A221" t="s">
        <v>2217</v>
      </c>
      <c r="B221">
        <v>15</v>
      </c>
      <c r="C221">
        <v>-0.25810534000000002</v>
      </c>
      <c r="D221">
        <v>-0.77716240000000003</v>
      </c>
      <c r="E221">
        <v>0.75889324999999996</v>
      </c>
      <c r="F221">
        <v>1</v>
      </c>
      <c r="G221">
        <v>1</v>
      </c>
      <c r="H221">
        <v>683</v>
      </c>
      <c r="I221" t="s">
        <v>2096</v>
      </c>
      <c r="M221" s="227" t="s">
        <v>2217</v>
      </c>
      <c r="N221" s="227">
        <v>15</v>
      </c>
      <c r="O221" s="227">
        <v>-0.25810534000000002</v>
      </c>
      <c r="P221" s="227">
        <v>-0.77716240000000003</v>
      </c>
      <c r="Q221" s="227">
        <v>0.75889324999999996</v>
      </c>
      <c r="R221" s="227">
        <v>1</v>
      </c>
      <c r="S221" s="227">
        <v>1</v>
      </c>
      <c r="T221" s="227">
        <v>683</v>
      </c>
      <c r="U221" s="227" t="s">
        <v>2096</v>
      </c>
    </row>
    <row r="222" spans="1:21" x14ac:dyDescent="0.25">
      <c r="A222" t="s">
        <v>2218</v>
      </c>
      <c r="B222">
        <v>74</v>
      </c>
      <c r="C222">
        <v>-0.21401613999999999</v>
      </c>
      <c r="D222">
        <v>-0.77150403999999995</v>
      </c>
      <c r="E222">
        <v>0.70161289999999998</v>
      </c>
      <c r="F222">
        <v>1</v>
      </c>
      <c r="G222">
        <v>1</v>
      </c>
      <c r="H222">
        <v>1852</v>
      </c>
      <c r="I222" t="s">
        <v>2094</v>
      </c>
      <c r="M222" s="227" t="s">
        <v>2218</v>
      </c>
      <c r="N222" s="227">
        <v>74</v>
      </c>
      <c r="O222" s="227">
        <v>-0.21401613999999999</v>
      </c>
      <c r="P222" s="227">
        <v>-0.77150403999999995</v>
      </c>
      <c r="Q222" s="227">
        <v>0.70161289999999998</v>
      </c>
      <c r="R222" s="227">
        <v>1</v>
      </c>
      <c r="S222" s="227">
        <v>1</v>
      </c>
      <c r="T222" s="227">
        <v>1852</v>
      </c>
      <c r="U222" s="227" t="s">
        <v>2094</v>
      </c>
    </row>
    <row r="223" spans="1:21" x14ac:dyDescent="0.25">
      <c r="A223" t="s">
        <v>2219</v>
      </c>
      <c r="B223">
        <v>335</v>
      </c>
      <c r="C223">
        <v>-0.16349301999999999</v>
      </c>
      <c r="D223">
        <v>-0.76550364000000004</v>
      </c>
      <c r="E223">
        <v>0.95927600000000002</v>
      </c>
      <c r="F223">
        <v>1</v>
      </c>
      <c r="G223">
        <v>1</v>
      </c>
      <c r="H223">
        <v>2743</v>
      </c>
      <c r="I223" t="s">
        <v>2220</v>
      </c>
      <c r="M223" s="227" t="s">
        <v>2219</v>
      </c>
      <c r="N223" s="227">
        <v>335</v>
      </c>
      <c r="O223" s="227">
        <v>-0.16349301999999999</v>
      </c>
      <c r="P223" s="227">
        <v>-0.76550364000000004</v>
      </c>
      <c r="Q223" s="227">
        <v>0.95927600000000002</v>
      </c>
      <c r="R223" s="227">
        <v>1</v>
      </c>
      <c r="S223" s="227">
        <v>1</v>
      </c>
      <c r="T223" s="227">
        <v>2743</v>
      </c>
      <c r="U223" s="227" t="s">
        <v>2220</v>
      </c>
    </row>
    <row r="224" spans="1:21" x14ac:dyDescent="0.25">
      <c r="A224" t="s">
        <v>2221</v>
      </c>
      <c r="B224">
        <v>79</v>
      </c>
      <c r="C224">
        <v>-0.19088817</v>
      </c>
      <c r="D224">
        <v>-0.76361250000000003</v>
      </c>
      <c r="E224">
        <v>0.79423076000000004</v>
      </c>
      <c r="F224">
        <v>1</v>
      </c>
      <c r="G224">
        <v>1</v>
      </c>
      <c r="H224">
        <v>1842</v>
      </c>
      <c r="I224" t="s">
        <v>2222</v>
      </c>
      <c r="M224" s="227" t="s">
        <v>2221</v>
      </c>
      <c r="N224" s="227">
        <v>79</v>
      </c>
      <c r="O224" s="227">
        <v>-0.19088817</v>
      </c>
      <c r="P224" s="227">
        <v>-0.76361250000000003</v>
      </c>
      <c r="Q224" s="227">
        <v>0.79423076000000004</v>
      </c>
      <c r="R224" s="227">
        <v>1</v>
      </c>
      <c r="S224" s="227">
        <v>1</v>
      </c>
      <c r="T224" s="227">
        <v>1842</v>
      </c>
      <c r="U224" s="227" t="s">
        <v>2222</v>
      </c>
    </row>
    <row r="225" spans="1:21" x14ac:dyDescent="0.25">
      <c r="A225" t="s">
        <v>2223</v>
      </c>
      <c r="B225">
        <v>36</v>
      </c>
      <c r="C225">
        <v>-0.22816874000000001</v>
      </c>
      <c r="D225">
        <v>-0.76074569999999997</v>
      </c>
      <c r="E225">
        <v>0.77281946000000001</v>
      </c>
      <c r="F225">
        <v>1</v>
      </c>
      <c r="G225">
        <v>1</v>
      </c>
      <c r="H225">
        <v>3177</v>
      </c>
      <c r="I225" t="s">
        <v>2224</v>
      </c>
      <c r="M225" s="227" t="s">
        <v>2223</v>
      </c>
      <c r="N225" s="227">
        <v>36</v>
      </c>
      <c r="O225" s="227">
        <v>-0.22816874000000001</v>
      </c>
      <c r="P225" s="227">
        <v>-0.76074569999999997</v>
      </c>
      <c r="Q225" s="227">
        <v>0.77281946000000001</v>
      </c>
      <c r="R225" s="227">
        <v>1</v>
      </c>
      <c r="S225" s="227">
        <v>1</v>
      </c>
      <c r="T225" s="227">
        <v>3177</v>
      </c>
      <c r="U225" s="227" t="s">
        <v>2224</v>
      </c>
    </row>
    <row r="226" spans="1:21" x14ac:dyDescent="0.25">
      <c r="A226" t="s">
        <v>2225</v>
      </c>
      <c r="B226">
        <v>15</v>
      </c>
      <c r="C226">
        <v>-0.27698286999999999</v>
      </c>
      <c r="D226">
        <v>-0.7587547</v>
      </c>
      <c r="E226">
        <v>0.73663365999999997</v>
      </c>
      <c r="F226">
        <v>1</v>
      </c>
      <c r="G226">
        <v>1</v>
      </c>
      <c r="H226">
        <v>2740</v>
      </c>
      <c r="I226" t="s">
        <v>2226</v>
      </c>
      <c r="M226" s="227" t="s">
        <v>2225</v>
      </c>
      <c r="N226" s="227">
        <v>15</v>
      </c>
      <c r="O226" s="227">
        <v>-0.27698286999999999</v>
      </c>
      <c r="P226" s="227">
        <v>-0.7587547</v>
      </c>
      <c r="Q226" s="227">
        <v>0.73663365999999997</v>
      </c>
      <c r="R226" s="227">
        <v>1</v>
      </c>
      <c r="S226" s="227">
        <v>1</v>
      </c>
      <c r="T226" s="227">
        <v>2740</v>
      </c>
      <c r="U226" s="227" t="s">
        <v>2226</v>
      </c>
    </row>
    <row r="227" spans="1:21" x14ac:dyDescent="0.25">
      <c r="A227" t="s">
        <v>2227</v>
      </c>
      <c r="B227">
        <v>75</v>
      </c>
      <c r="C227">
        <v>-0.18308930000000001</v>
      </c>
      <c r="D227">
        <v>-0.7585634</v>
      </c>
      <c r="E227">
        <v>0.87959180000000003</v>
      </c>
      <c r="F227">
        <v>1</v>
      </c>
      <c r="G227">
        <v>1</v>
      </c>
      <c r="H227">
        <v>3915</v>
      </c>
      <c r="I227" t="s">
        <v>2190</v>
      </c>
      <c r="M227" s="227" t="s">
        <v>2227</v>
      </c>
      <c r="N227" s="227">
        <v>75</v>
      </c>
      <c r="O227" s="227">
        <v>-0.18308930000000001</v>
      </c>
      <c r="P227" s="227">
        <v>-0.7585634</v>
      </c>
      <c r="Q227" s="227">
        <v>0.87959180000000003</v>
      </c>
      <c r="R227" s="227">
        <v>1</v>
      </c>
      <c r="S227" s="227">
        <v>1</v>
      </c>
      <c r="T227" s="227">
        <v>3915</v>
      </c>
      <c r="U227" s="227" t="s">
        <v>2190</v>
      </c>
    </row>
    <row r="228" spans="1:21" x14ac:dyDescent="0.25">
      <c r="A228" t="s">
        <v>2228</v>
      </c>
      <c r="B228">
        <v>32</v>
      </c>
      <c r="C228">
        <v>-0.24141425999999999</v>
      </c>
      <c r="D228">
        <v>-0.75749690000000003</v>
      </c>
      <c r="E228">
        <v>0.80555560000000004</v>
      </c>
      <c r="F228">
        <v>1</v>
      </c>
      <c r="G228">
        <v>1</v>
      </c>
      <c r="H228">
        <v>2864</v>
      </c>
      <c r="I228" t="s">
        <v>2068</v>
      </c>
      <c r="M228" s="227" t="s">
        <v>2228</v>
      </c>
      <c r="N228" s="227">
        <v>32</v>
      </c>
      <c r="O228" s="227">
        <v>-0.24141425999999999</v>
      </c>
      <c r="P228" s="227">
        <v>-0.75749690000000003</v>
      </c>
      <c r="Q228" s="227">
        <v>0.80555560000000004</v>
      </c>
      <c r="R228" s="227">
        <v>1</v>
      </c>
      <c r="S228" s="227">
        <v>1</v>
      </c>
      <c r="T228" s="227">
        <v>2864</v>
      </c>
      <c r="U228" s="227" t="s">
        <v>2068</v>
      </c>
    </row>
    <row r="229" spans="1:21" x14ac:dyDescent="0.25">
      <c r="A229" t="s">
        <v>2229</v>
      </c>
      <c r="B229">
        <v>32</v>
      </c>
      <c r="C229">
        <v>-0.24141425999999999</v>
      </c>
      <c r="D229">
        <v>-0.75749690000000003</v>
      </c>
      <c r="E229">
        <v>0.80555560000000004</v>
      </c>
      <c r="F229">
        <v>1</v>
      </c>
      <c r="G229">
        <v>1</v>
      </c>
      <c r="H229">
        <v>2864</v>
      </c>
      <c r="I229" t="s">
        <v>2068</v>
      </c>
      <c r="M229" s="227" t="s">
        <v>2229</v>
      </c>
      <c r="N229" s="227">
        <v>32</v>
      </c>
      <c r="O229" s="227">
        <v>-0.24141425999999999</v>
      </c>
      <c r="P229" s="227">
        <v>-0.75749690000000003</v>
      </c>
      <c r="Q229" s="227">
        <v>0.80555560000000004</v>
      </c>
      <c r="R229" s="227">
        <v>1</v>
      </c>
      <c r="S229" s="227">
        <v>1</v>
      </c>
      <c r="T229" s="227">
        <v>2864</v>
      </c>
      <c r="U229" s="227" t="s">
        <v>2068</v>
      </c>
    </row>
    <row r="230" spans="1:21" x14ac:dyDescent="0.25">
      <c r="A230" t="s">
        <v>2230</v>
      </c>
      <c r="B230">
        <v>27</v>
      </c>
      <c r="C230">
        <v>-0.25805919999999999</v>
      </c>
      <c r="D230">
        <v>-0.75519234000000002</v>
      </c>
      <c r="E230">
        <v>0.79789469999999996</v>
      </c>
      <c r="F230">
        <v>1</v>
      </c>
      <c r="G230">
        <v>1</v>
      </c>
      <c r="H230">
        <v>4170</v>
      </c>
      <c r="I230" t="s">
        <v>2231</v>
      </c>
      <c r="M230" s="227" t="s">
        <v>2230</v>
      </c>
      <c r="N230" s="227">
        <v>27</v>
      </c>
      <c r="O230" s="227">
        <v>-0.25805919999999999</v>
      </c>
      <c r="P230" s="227">
        <v>-0.75519234000000002</v>
      </c>
      <c r="Q230" s="227">
        <v>0.79789469999999996</v>
      </c>
      <c r="R230" s="227">
        <v>1</v>
      </c>
      <c r="S230" s="227">
        <v>1</v>
      </c>
      <c r="T230" s="227">
        <v>4170</v>
      </c>
      <c r="U230" s="227" t="s">
        <v>2231</v>
      </c>
    </row>
    <row r="231" spans="1:21" x14ac:dyDescent="0.25">
      <c r="A231" t="s">
        <v>2232</v>
      </c>
      <c r="B231">
        <v>45</v>
      </c>
      <c r="C231">
        <v>-0.20126039000000001</v>
      </c>
      <c r="D231">
        <v>-0.75140130000000005</v>
      </c>
      <c r="E231">
        <v>0.83575885999999999</v>
      </c>
      <c r="F231">
        <v>1</v>
      </c>
      <c r="G231">
        <v>1</v>
      </c>
      <c r="H231">
        <v>3343</v>
      </c>
      <c r="I231" t="s">
        <v>2233</v>
      </c>
      <c r="M231" s="227" t="s">
        <v>2232</v>
      </c>
      <c r="N231" s="227">
        <v>45</v>
      </c>
      <c r="O231" s="227">
        <v>-0.20126039000000001</v>
      </c>
      <c r="P231" s="227">
        <v>-0.75140130000000005</v>
      </c>
      <c r="Q231" s="227">
        <v>0.83575885999999999</v>
      </c>
      <c r="R231" s="227">
        <v>1</v>
      </c>
      <c r="S231" s="227">
        <v>1</v>
      </c>
      <c r="T231" s="227">
        <v>3343</v>
      </c>
      <c r="U231" s="227" t="s">
        <v>2233</v>
      </c>
    </row>
    <row r="232" spans="1:21" x14ac:dyDescent="0.25">
      <c r="A232" t="s">
        <v>2234</v>
      </c>
      <c r="B232">
        <v>95</v>
      </c>
      <c r="C232">
        <v>-0.17053931999999999</v>
      </c>
      <c r="D232">
        <v>-0.74999009999999999</v>
      </c>
      <c r="E232">
        <v>0.91422594000000001</v>
      </c>
      <c r="F232">
        <v>1</v>
      </c>
      <c r="G232">
        <v>1</v>
      </c>
      <c r="H232">
        <v>3447</v>
      </c>
      <c r="I232" t="s">
        <v>2235</v>
      </c>
      <c r="M232" s="227" t="s">
        <v>2234</v>
      </c>
      <c r="N232" s="227">
        <v>95</v>
      </c>
      <c r="O232" s="227">
        <v>-0.17053931999999999</v>
      </c>
      <c r="P232" s="227">
        <v>-0.74999009999999999</v>
      </c>
      <c r="Q232" s="227">
        <v>0.91422594000000001</v>
      </c>
      <c r="R232" s="227">
        <v>1</v>
      </c>
      <c r="S232" s="227">
        <v>1</v>
      </c>
      <c r="T232" s="227">
        <v>3447</v>
      </c>
      <c r="U232" s="227" t="s">
        <v>2235</v>
      </c>
    </row>
    <row r="233" spans="1:21" x14ac:dyDescent="0.25">
      <c r="A233" t="s">
        <v>2236</v>
      </c>
      <c r="B233">
        <v>17</v>
      </c>
      <c r="C233">
        <v>-0.23944504999999999</v>
      </c>
      <c r="D233">
        <v>-0.74795489999999998</v>
      </c>
      <c r="E233">
        <v>0.82173914000000003</v>
      </c>
      <c r="F233">
        <v>1</v>
      </c>
      <c r="G233">
        <v>1</v>
      </c>
      <c r="H233">
        <v>4154</v>
      </c>
      <c r="I233" t="s">
        <v>2237</v>
      </c>
      <c r="M233" s="227" t="s">
        <v>2236</v>
      </c>
      <c r="N233" s="227">
        <v>17</v>
      </c>
      <c r="O233" s="227">
        <v>-0.23944504999999999</v>
      </c>
      <c r="P233" s="227">
        <v>-0.74795489999999998</v>
      </c>
      <c r="Q233" s="227">
        <v>0.82173914000000003</v>
      </c>
      <c r="R233" s="227">
        <v>1</v>
      </c>
      <c r="S233" s="227">
        <v>1</v>
      </c>
      <c r="T233" s="227">
        <v>4154</v>
      </c>
      <c r="U233" s="227" t="s">
        <v>2237</v>
      </c>
    </row>
    <row r="234" spans="1:21" x14ac:dyDescent="0.25">
      <c r="A234" t="s">
        <v>2238</v>
      </c>
      <c r="B234">
        <v>25</v>
      </c>
      <c r="C234">
        <v>-0.23799638000000001</v>
      </c>
      <c r="D234">
        <v>-0.74707809999999997</v>
      </c>
      <c r="E234">
        <v>0.78701823999999998</v>
      </c>
      <c r="F234">
        <v>1</v>
      </c>
      <c r="G234">
        <v>1</v>
      </c>
      <c r="H234">
        <v>3343</v>
      </c>
      <c r="I234" t="s">
        <v>2239</v>
      </c>
      <c r="M234" s="227" t="s">
        <v>2238</v>
      </c>
      <c r="N234" s="227">
        <v>25</v>
      </c>
      <c r="O234" s="227">
        <v>-0.23799638000000001</v>
      </c>
      <c r="P234" s="227">
        <v>-0.74707809999999997</v>
      </c>
      <c r="Q234" s="227">
        <v>0.78701823999999998</v>
      </c>
      <c r="R234" s="227">
        <v>1</v>
      </c>
      <c r="S234" s="227">
        <v>1</v>
      </c>
      <c r="T234" s="227">
        <v>3343</v>
      </c>
      <c r="U234" s="227" t="s">
        <v>2239</v>
      </c>
    </row>
    <row r="235" spans="1:21" x14ac:dyDescent="0.25">
      <c r="A235" t="s">
        <v>2240</v>
      </c>
      <c r="B235">
        <v>39</v>
      </c>
      <c r="C235">
        <v>-0.21103438999999999</v>
      </c>
      <c r="D235">
        <v>-0.73200023000000003</v>
      </c>
      <c r="E235">
        <v>0.84130435999999997</v>
      </c>
      <c r="F235">
        <v>1</v>
      </c>
      <c r="G235">
        <v>1</v>
      </c>
      <c r="H235">
        <v>2616</v>
      </c>
      <c r="I235" t="s">
        <v>2241</v>
      </c>
      <c r="M235" s="227" t="s">
        <v>2240</v>
      </c>
      <c r="N235" s="227">
        <v>39</v>
      </c>
      <c r="O235" s="227">
        <v>-0.21103438999999999</v>
      </c>
      <c r="P235" s="227">
        <v>-0.73200023000000003</v>
      </c>
      <c r="Q235" s="227">
        <v>0.84130435999999997</v>
      </c>
      <c r="R235" s="227">
        <v>1</v>
      </c>
      <c r="S235" s="227">
        <v>1</v>
      </c>
      <c r="T235" s="227">
        <v>2616</v>
      </c>
      <c r="U235" s="227" t="s">
        <v>2241</v>
      </c>
    </row>
    <row r="236" spans="1:21" x14ac:dyDescent="0.25">
      <c r="A236" t="s">
        <v>2242</v>
      </c>
      <c r="B236">
        <v>39</v>
      </c>
      <c r="C236">
        <v>-0.21103438999999999</v>
      </c>
      <c r="D236">
        <v>-0.73200023000000003</v>
      </c>
      <c r="E236">
        <v>0.84130435999999997</v>
      </c>
      <c r="F236">
        <v>1</v>
      </c>
      <c r="G236">
        <v>1</v>
      </c>
      <c r="H236">
        <v>2616</v>
      </c>
      <c r="I236" t="s">
        <v>2241</v>
      </c>
      <c r="M236" s="227" t="s">
        <v>2242</v>
      </c>
      <c r="N236" s="227">
        <v>39</v>
      </c>
      <c r="O236" s="227">
        <v>-0.21103438999999999</v>
      </c>
      <c r="P236" s="227">
        <v>-0.73200023000000003</v>
      </c>
      <c r="Q236" s="227">
        <v>0.84130435999999997</v>
      </c>
      <c r="R236" s="227">
        <v>1</v>
      </c>
      <c r="S236" s="227">
        <v>1</v>
      </c>
      <c r="T236" s="227">
        <v>2616</v>
      </c>
      <c r="U236" s="227" t="s">
        <v>2241</v>
      </c>
    </row>
    <row r="237" spans="1:21" x14ac:dyDescent="0.25">
      <c r="A237" t="s">
        <v>2243</v>
      </c>
      <c r="B237">
        <v>24</v>
      </c>
      <c r="C237">
        <v>-0.22226486000000001</v>
      </c>
      <c r="D237">
        <v>-0.73078233000000004</v>
      </c>
      <c r="E237">
        <v>0.8032454</v>
      </c>
      <c r="F237">
        <v>1</v>
      </c>
      <c r="G237">
        <v>1</v>
      </c>
      <c r="H237">
        <v>2443</v>
      </c>
      <c r="I237" t="s">
        <v>2244</v>
      </c>
      <c r="M237" s="227" t="s">
        <v>2243</v>
      </c>
      <c r="N237" s="227">
        <v>24</v>
      </c>
      <c r="O237" s="227">
        <v>-0.22226486000000001</v>
      </c>
      <c r="P237" s="227">
        <v>-0.73078233000000004</v>
      </c>
      <c r="Q237" s="227">
        <v>0.8032454</v>
      </c>
      <c r="R237" s="227">
        <v>1</v>
      </c>
      <c r="S237" s="227">
        <v>1</v>
      </c>
      <c r="T237" s="227">
        <v>2443</v>
      </c>
      <c r="U237" s="227" t="s">
        <v>2244</v>
      </c>
    </row>
    <row r="238" spans="1:21" x14ac:dyDescent="0.25">
      <c r="A238" t="s">
        <v>2245</v>
      </c>
      <c r="B238">
        <v>20</v>
      </c>
      <c r="C238">
        <v>-0.22437905</v>
      </c>
      <c r="D238">
        <v>-0.72918629999999995</v>
      </c>
      <c r="E238">
        <v>0.84049079999999998</v>
      </c>
      <c r="F238">
        <v>1</v>
      </c>
      <c r="G238">
        <v>1</v>
      </c>
      <c r="H238">
        <v>5118</v>
      </c>
      <c r="I238" t="s">
        <v>2246</v>
      </c>
      <c r="M238" s="227" t="s">
        <v>2245</v>
      </c>
      <c r="N238" s="227">
        <v>20</v>
      </c>
      <c r="O238" s="227">
        <v>-0.22437905</v>
      </c>
      <c r="P238" s="227">
        <v>-0.72918629999999995</v>
      </c>
      <c r="Q238" s="227">
        <v>0.84049079999999998</v>
      </c>
      <c r="R238" s="227">
        <v>1</v>
      </c>
      <c r="S238" s="227">
        <v>1</v>
      </c>
      <c r="T238" s="227">
        <v>5118</v>
      </c>
      <c r="U238" s="227" t="s">
        <v>2246</v>
      </c>
    </row>
    <row r="239" spans="1:21" x14ac:dyDescent="0.25">
      <c r="A239" t="s">
        <v>2247</v>
      </c>
      <c r="B239">
        <v>19</v>
      </c>
      <c r="C239">
        <v>-0.22060115999999999</v>
      </c>
      <c r="D239">
        <v>-0.72891229999999996</v>
      </c>
      <c r="E239">
        <v>0.8706564</v>
      </c>
      <c r="F239">
        <v>1</v>
      </c>
      <c r="G239">
        <v>1</v>
      </c>
      <c r="H239">
        <v>1431</v>
      </c>
      <c r="I239" t="s">
        <v>2248</v>
      </c>
      <c r="M239" s="227" t="s">
        <v>2247</v>
      </c>
      <c r="N239" s="227">
        <v>19</v>
      </c>
      <c r="O239" s="227">
        <v>-0.22060115999999999</v>
      </c>
      <c r="P239" s="227">
        <v>-0.72891229999999996</v>
      </c>
      <c r="Q239" s="227">
        <v>0.8706564</v>
      </c>
      <c r="R239" s="227">
        <v>1</v>
      </c>
      <c r="S239" s="227">
        <v>1</v>
      </c>
      <c r="T239" s="227">
        <v>1431</v>
      </c>
      <c r="U239" s="227" t="s">
        <v>2248</v>
      </c>
    </row>
    <row r="240" spans="1:21" x14ac:dyDescent="0.25">
      <c r="A240" t="s">
        <v>2249</v>
      </c>
      <c r="B240">
        <v>102</v>
      </c>
      <c r="C240">
        <v>-0.15870430999999999</v>
      </c>
      <c r="D240">
        <v>-0.72548469999999998</v>
      </c>
      <c r="E240">
        <v>0.96659709999999999</v>
      </c>
      <c r="F240">
        <v>1</v>
      </c>
      <c r="G240">
        <v>1</v>
      </c>
      <c r="H240">
        <v>2707</v>
      </c>
      <c r="I240" t="s">
        <v>2250</v>
      </c>
      <c r="M240" s="227" t="s">
        <v>2249</v>
      </c>
      <c r="N240" s="227">
        <v>102</v>
      </c>
      <c r="O240" s="227">
        <v>-0.15870430999999999</v>
      </c>
      <c r="P240" s="227">
        <v>-0.72548469999999998</v>
      </c>
      <c r="Q240" s="227">
        <v>0.96659709999999999</v>
      </c>
      <c r="R240" s="227">
        <v>1</v>
      </c>
      <c r="S240" s="227">
        <v>1</v>
      </c>
      <c r="T240" s="227">
        <v>2707</v>
      </c>
      <c r="U240" s="227" t="s">
        <v>2250</v>
      </c>
    </row>
    <row r="241" spans="1:21" x14ac:dyDescent="0.25">
      <c r="A241" t="s">
        <v>2251</v>
      </c>
      <c r="B241">
        <v>41</v>
      </c>
      <c r="C241">
        <v>-0.18300137</v>
      </c>
      <c r="D241">
        <v>-0.71305573</v>
      </c>
      <c r="E241">
        <v>0.90546219999999999</v>
      </c>
      <c r="F241">
        <v>1</v>
      </c>
      <c r="G241">
        <v>1</v>
      </c>
      <c r="H241">
        <v>3868</v>
      </c>
      <c r="I241" t="s">
        <v>2252</v>
      </c>
      <c r="M241" s="227" t="s">
        <v>2251</v>
      </c>
      <c r="N241" s="227">
        <v>41</v>
      </c>
      <c r="O241" s="227">
        <v>-0.18300137</v>
      </c>
      <c r="P241" s="227">
        <v>-0.71305573</v>
      </c>
      <c r="Q241" s="227">
        <v>0.90546219999999999</v>
      </c>
      <c r="R241" s="227">
        <v>1</v>
      </c>
      <c r="S241" s="227">
        <v>1</v>
      </c>
      <c r="T241" s="227">
        <v>3868</v>
      </c>
      <c r="U241" s="227" t="s">
        <v>2252</v>
      </c>
    </row>
    <row r="242" spans="1:21" x14ac:dyDescent="0.25">
      <c r="A242" t="s">
        <v>2253</v>
      </c>
      <c r="B242">
        <v>21</v>
      </c>
      <c r="C242">
        <v>-0.26817439999999998</v>
      </c>
      <c r="D242">
        <v>-0.70595264000000002</v>
      </c>
      <c r="E242">
        <v>0.80408159999999995</v>
      </c>
      <c r="F242">
        <v>1</v>
      </c>
      <c r="G242">
        <v>1</v>
      </c>
      <c r="H242">
        <v>5361</v>
      </c>
      <c r="I242" t="s">
        <v>2254</v>
      </c>
      <c r="M242" s="227" t="s">
        <v>2253</v>
      </c>
      <c r="N242" s="227">
        <v>21</v>
      </c>
      <c r="O242" s="227">
        <v>-0.26817439999999998</v>
      </c>
      <c r="P242" s="227">
        <v>-0.70595264000000002</v>
      </c>
      <c r="Q242" s="227">
        <v>0.80408159999999995</v>
      </c>
      <c r="R242" s="227">
        <v>1</v>
      </c>
      <c r="S242" s="227">
        <v>1</v>
      </c>
      <c r="T242" s="227">
        <v>5361</v>
      </c>
      <c r="U242" s="227" t="s">
        <v>2254</v>
      </c>
    </row>
    <row r="243" spans="1:21" x14ac:dyDescent="0.25">
      <c r="A243" t="s">
        <v>2255</v>
      </c>
      <c r="B243">
        <v>15</v>
      </c>
      <c r="C243">
        <v>-0.23996922000000001</v>
      </c>
      <c r="D243">
        <v>-0.69986665000000003</v>
      </c>
      <c r="E243">
        <v>0.88503253000000004</v>
      </c>
      <c r="F243">
        <v>1</v>
      </c>
      <c r="G243">
        <v>1</v>
      </c>
      <c r="H243">
        <v>2915</v>
      </c>
      <c r="I243" t="s">
        <v>2256</v>
      </c>
      <c r="M243" s="227" t="s">
        <v>2255</v>
      </c>
      <c r="N243" s="227">
        <v>15</v>
      </c>
      <c r="O243" s="227">
        <v>-0.23996922000000001</v>
      </c>
      <c r="P243" s="227">
        <v>-0.69986665000000003</v>
      </c>
      <c r="Q243" s="227">
        <v>0.88503253000000004</v>
      </c>
      <c r="R243" s="227">
        <v>1</v>
      </c>
      <c r="S243" s="227">
        <v>1</v>
      </c>
      <c r="T243" s="227">
        <v>2915</v>
      </c>
      <c r="U243" s="227" t="s">
        <v>2256</v>
      </c>
    </row>
    <row r="244" spans="1:21" x14ac:dyDescent="0.25">
      <c r="A244" t="s">
        <v>2257</v>
      </c>
      <c r="B244">
        <v>18</v>
      </c>
      <c r="C244">
        <v>-0.23113154</v>
      </c>
      <c r="D244">
        <v>-0.69901919999999995</v>
      </c>
      <c r="E244">
        <v>0.91750500000000001</v>
      </c>
      <c r="F244">
        <v>1</v>
      </c>
      <c r="G244">
        <v>1</v>
      </c>
      <c r="H244">
        <v>13405</v>
      </c>
      <c r="I244" t="s">
        <v>2258</v>
      </c>
      <c r="M244" s="227" t="s">
        <v>2257</v>
      </c>
      <c r="N244" s="227">
        <v>18</v>
      </c>
      <c r="O244" s="227">
        <v>-0.23113154</v>
      </c>
      <c r="P244" s="227">
        <v>-0.69901919999999995</v>
      </c>
      <c r="Q244" s="227">
        <v>0.91750500000000001</v>
      </c>
      <c r="R244" s="227">
        <v>1</v>
      </c>
      <c r="S244" s="227">
        <v>1</v>
      </c>
      <c r="T244" s="227">
        <v>13405</v>
      </c>
      <c r="U244" s="227" t="s">
        <v>2258</v>
      </c>
    </row>
    <row r="245" spans="1:21" x14ac:dyDescent="0.25">
      <c r="A245" t="s">
        <v>2259</v>
      </c>
      <c r="B245">
        <v>16</v>
      </c>
      <c r="C245">
        <v>-0.24287847000000001</v>
      </c>
      <c r="D245">
        <v>-0.69848849999999996</v>
      </c>
      <c r="E245">
        <v>0.89542484</v>
      </c>
      <c r="F245">
        <v>1</v>
      </c>
      <c r="G245">
        <v>1</v>
      </c>
      <c r="H245">
        <v>13200</v>
      </c>
      <c r="I245" t="s">
        <v>2260</v>
      </c>
      <c r="M245" s="227" t="s">
        <v>2259</v>
      </c>
      <c r="N245" s="227">
        <v>16</v>
      </c>
      <c r="O245" s="227">
        <v>-0.24287847000000001</v>
      </c>
      <c r="P245" s="227">
        <v>-0.69848849999999996</v>
      </c>
      <c r="Q245" s="227">
        <v>0.89542484</v>
      </c>
      <c r="R245" s="227">
        <v>1</v>
      </c>
      <c r="S245" s="227">
        <v>1</v>
      </c>
      <c r="T245" s="227">
        <v>13200</v>
      </c>
      <c r="U245" s="227" t="s">
        <v>2260</v>
      </c>
    </row>
    <row r="246" spans="1:21" x14ac:dyDescent="0.25">
      <c r="A246" t="s">
        <v>2261</v>
      </c>
      <c r="B246">
        <v>20</v>
      </c>
      <c r="C246">
        <v>-0.23259233000000001</v>
      </c>
      <c r="D246">
        <v>-0.68857473000000002</v>
      </c>
      <c r="E246">
        <v>0.81987580000000004</v>
      </c>
      <c r="F246">
        <v>1</v>
      </c>
      <c r="G246">
        <v>1</v>
      </c>
      <c r="H246">
        <v>520</v>
      </c>
      <c r="I246" t="s">
        <v>2262</v>
      </c>
      <c r="M246" s="227" t="s">
        <v>2261</v>
      </c>
      <c r="N246" s="227">
        <v>20</v>
      </c>
      <c r="O246" s="227">
        <v>-0.23259233000000001</v>
      </c>
      <c r="P246" s="227">
        <v>-0.68857473000000002</v>
      </c>
      <c r="Q246" s="227">
        <v>0.81987580000000004</v>
      </c>
      <c r="R246" s="227">
        <v>1</v>
      </c>
      <c r="S246" s="227">
        <v>1</v>
      </c>
      <c r="T246" s="227">
        <v>520</v>
      </c>
      <c r="U246" s="227" t="s">
        <v>2262</v>
      </c>
    </row>
    <row r="247" spans="1:21" x14ac:dyDescent="0.25">
      <c r="A247" t="s">
        <v>2263</v>
      </c>
      <c r="B247">
        <v>28</v>
      </c>
      <c r="C247">
        <v>-0.19817393</v>
      </c>
      <c r="D247">
        <v>-0.68833149999999999</v>
      </c>
      <c r="E247">
        <v>0.86004055000000001</v>
      </c>
      <c r="F247">
        <v>1</v>
      </c>
      <c r="G247">
        <v>1</v>
      </c>
      <c r="H247">
        <v>3388</v>
      </c>
      <c r="I247" t="s">
        <v>2062</v>
      </c>
      <c r="M247" s="227" t="s">
        <v>2263</v>
      </c>
      <c r="N247" s="227">
        <v>28</v>
      </c>
      <c r="O247" s="227">
        <v>-0.19817393</v>
      </c>
      <c r="P247" s="227">
        <v>-0.68833149999999999</v>
      </c>
      <c r="Q247" s="227">
        <v>0.86004055000000001</v>
      </c>
      <c r="R247" s="227">
        <v>1</v>
      </c>
      <c r="S247" s="227">
        <v>1</v>
      </c>
      <c r="T247" s="227">
        <v>3388</v>
      </c>
      <c r="U247" s="227" t="s">
        <v>2062</v>
      </c>
    </row>
    <row r="248" spans="1:21" x14ac:dyDescent="0.25">
      <c r="A248" t="s">
        <v>2264</v>
      </c>
      <c r="B248">
        <v>28</v>
      </c>
      <c r="C248">
        <v>-0.19817389999999999</v>
      </c>
      <c r="D248">
        <v>-0.68833140000000004</v>
      </c>
      <c r="E248">
        <v>0.86004055000000001</v>
      </c>
      <c r="F248">
        <v>1</v>
      </c>
      <c r="G248">
        <v>1</v>
      </c>
      <c r="H248">
        <v>3388</v>
      </c>
      <c r="I248" t="s">
        <v>2062</v>
      </c>
      <c r="M248" s="227" t="s">
        <v>2264</v>
      </c>
      <c r="N248" s="227">
        <v>28</v>
      </c>
      <c r="O248" s="227">
        <v>-0.19817389999999999</v>
      </c>
      <c r="P248" s="227">
        <v>-0.68833140000000004</v>
      </c>
      <c r="Q248" s="227">
        <v>0.86004055000000001</v>
      </c>
      <c r="R248" s="227">
        <v>1</v>
      </c>
      <c r="S248" s="227">
        <v>1</v>
      </c>
      <c r="T248" s="227">
        <v>3388</v>
      </c>
      <c r="U248" s="227" t="s">
        <v>2062</v>
      </c>
    </row>
    <row r="249" spans="1:21" x14ac:dyDescent="0.25">
      <c r="A249" t="s">
        <v>2265</v>
      </c>
      <c r="B249">
        <v>30</v>
      </c>
      <c r="C249">
        <v>-0.19512382</v>
      </c>
      <c r="D249">
        <v>-0.68282920000000003</v>
      </c>
      <c r="E249">
        <v>0.89770349999999999</v>
      </c>
      <c r="F249">
        <v>1</v>
      </c>
      <c r="G249">
        <v>1</v>
      </c>
      <c r="H249">
        <v>3388</v>
      </c>
      <c r="I249" t="s">
        <v>2026</v>
      </c>
      <c r="M249" s="227" t="s">
        <v>2265</v>
      </c>
      <c r="N249" s="227">
        <v>30</v>
      </c>
      <c r="O249" s="227">
        <v>-0.19512382</v>
      </c>
      <c r="P249" s="227">
        <v>-0.68282920000000003</v>
      </c>
      <c r="Q249" s="227">
        <v>0.89770349999999999</v>
      </c>
      <c r="R249" s="227">
        <v>1</v>
      </c>
      <c r="S249" s="227">
        <v>1</v>
      </c>
      <c r="T249" s="227">
        <v>3388</v>
      </c>
      <c r="U249" s="227" t="s">
        <v>2026</v>
      </c>
    </row>
    <row r="250" spans="1:21" x14ac:dyDescent="0.25">
      <c r="A250" t="s">
        <v>2266</v>
      </c>
      <c r="B250">
        <v>21</v>
      </c>
      <c r="C250">
        <v>-0.19819941999999999</v>
      </c>
      <c r="D250">
        <v>-0.68068969999999995</v>
      </c>
      <c r="E250">
        <v>0.92796610000000002</v>
      </c>
      <c r="F250">
        <v>1</v>
      </c>
      <c r="G250">
        <v>1</v>
      </c>
      <c r="H250">
        <v>1948</v>
      </c>
      <c r="I250" t="s">
        <v>2267</v>
      </c>
      <c r="M250" s="227" t="s">
        <v>2266</v>
      </c>
      <c r="N250" s="227">
        <v>21</v>
      </c>
      <c r="O250" s="227">
        <v>-0.19819941999999999</v>
      </c>
      <c r="P250" s="227">
        <v>-0.68068969999999995</v>
      </c>
      <c r="Q250" s="227">
        <v>0.92796610000000002</v>
      </c>
      <c r="R250" s="227">
        <v>1</v>
      </c>
      <c r="S250" s="227">
        <v>1</v>
      </c>
      <c r="T250" s="227">
        <v>1948</v>
      </c>
      <c r="U250" s="227" t="s">
        <v>2267</v>
      </c>
    </row>
    <row r="251" spans="1:21" x14ac:dyDescent="0.25">
      <c r="A251" t="s">
        <v>2268</v>
      </c>
      <c r="B251">
        <v>42</v>
      </c>
      <c r="C251">
        <v>-0.19985417</v>
      </c>
      <c r="D251">
        <v>-0.67771800000000004</v>
      </c>
      <c r="E251">
        <v>0.87339056000000004</v>
      </c>
      <c r="F251">
        <v>1</v>
      </c>
      <c r="G251">
        <v>1</v>
      </c>
      <c r="H251">
        <v>2691</v>
      </c>
      <c r="I251" t="s">
        <v>2207</v>
      </c>
      <c r="M251" s="227" t="s">
        <v>2268</v>
      </c>
      <c r="N251" s="227">
        <v>42</v>
      </c>
      <c r="O251" s="227">
        <v>-0.19985417</v>
      </c>
      <c r="P251" s="227">
        <v>-0.67771800000000004</v>
      </c>
      <c r="Q251" s="227">
        <v>0.87339056000000004</v>
      </c>
      <c r="R251" s="227">
        <v>1</v>
      </c>
      <c r="S251" s="227">
        <v>1</v>
      </c>
      <c r="T251" s="227">
        <v>2691</v>
      </c>
      <c r="U251" s="227" t="s">
        <v>2207</v>
      </c>
    </row>
    <row r="252" spans="1:21" x14ac:dyDescent="0.25">
      <c r="A252" t="s">
        <v>2269</v>
      </c>
      <c r="B252">
        <v>42</v>
      </c>
      <c r="C252">
        <v>-0.19985417</v>
      </c>
      <c r="D252">
        <v>-0.67771800000000004</v>
      </c>
      <c r="E252">
        <v>0.87339056000000004</v>
      </c>
      <c r="F252">
        <v>1</v>
      </c>
      <c r="G252">
        <v>1</v>
      </c>
      <c r="H252">
        <v>2691</v>
      </c>
      <c r="I252" t="s">
        <v>2207</v>
      </c>
      <c r="M252" s="227" t="s">
        <v>2269</v>
      </c>
      <c r="N252" s="227">
        <v>42</v>
      </c>
      <c r="O252" s="227">
        <v>-0.19985417</v>
      </c>
      <c r="P252" s="227">
        <v>-0.67771800000000004</v>
      </c>
      <c r="Q252" s="227">
        <v>0.87339056000000004</v>
      </c>
      <c r="R252" s="227">
        <v>1</v>
      </c>
      <c r="S252" s="227">
        <v>1</v>
      </c>
      <c r="T252" s="227">
        <v>2691</v>
      </c>
      <c r="U252" s="227" t="s">
        <v>2207</v>
      </c>
    </row>
    <row r="253" spans="1:21" x14ac:dyDescent="0.25">
      <c r="A253" t="s">
        <v>2270</v>
      </c>
      <c r="B253">
        <v>19</v>
      </c>
      <c r="C253">
        <v>-0.21445781999999999</v>
      </c>
      <c r="D253">
        <v>-0.67473393999999998</v>
      </c>
      <c r="E253">
        <v>0.89397090000000001</v>
      </c>
      <c r="F253">
        <v>1</v>
      </c>
      <c r="G253">
        <v>1</v>
      </c>
      <c r="H253">
        <v>3462</v>
      </c>
      <c r="I253" t="s">
        <v>2271</v>
      </c>
      <c r="M253" s="227" t="s">
        <v>2270</v>
      </c>
      <c r="N253" s="227">
        <v>19</v>
      </c>
      <c r="O253" s="227">
        <v>-0.21445781999999999</v>
      </c>
      <c r="P253" s="227">
        <v>-0.67473393999999998</v>
      </c>
      <c r="Q253" s="227">
        <v>0.89397090000000001</v>
      </c>
      <c r="R253" s="227">
        <v>1</v>
      </c>
      <c r="S253" s="227">
        <v>1</v>
      </c>
      <c r="T253" s="227">
        <v>3462</v>
      </c>
      <c r="U253" s="227" t="s">
        <v>2271</v>
      </c>
    </row>
    <row r="254" spans="1:21" x14ac:dyDescent="0.25">
      <c r="A254" t="s">
        <v>2272</v>
      </c>
      <c r="B254">
        <v>15</v>
      </c>
      <c r="C254">
        <v>-0.24330054000000001</v>
      </c>
      <c r="D254">
        <v>-0.67290669999999997</v>
      </c>
      <c r="E254">
        <v>0.84928714999999999</v>
      </c>
      <c r="F254">
        <v>1</v>
      </c>
      <c r="G254">
        <v>1</v>
      </c>
      <c r="H254">
        <v>4154</v>
      </c>
      <c r="I254" t="s">
        <v>2273</v>
      </c>
      <c r="M254" s="227" t="s">
        <v>2272</v>
      </c>
      <c r="N254" s="227">
        <v>15</v>
      </c>
      <c r="O254" s="227">
        <v>-0.24330054000000001</v>
      </c>
      <c r="P254" s="227">
        <v>-0.67290669999999997</v>
      </c>
      <c r="Q254" s="227">
        <v>0.84928714999999999</v>
      </c>
      <c r="R254" s="227">
        <v>1</v>
      </c>
      <c r="S254" s="227">
        <v>1</v>
      </c>
      <c r="T254" s="227">
        <v>4154</v>
      </c>
      <c r="U254" s="227" t="s">
        <v>2273</v>
      </c>
    </row>
    <row r="255" spans="1:21" x14ac:dyDescent="0.25">
      <c r="A255" t="s">
        <v>2274</v>
      </c>
      <c r="B255">
        <v>66</v>
      </c>
      <c r="C255">
        <v>-0.16411700000000001</v>
      </c>
      <c r="D255">
        <v>-0.67245305</v>
      </c>
      <c r="E255">
        <v>0.94143164000000001</v>
      </c>
      <c r="F255">
        <v>1</v>
      </c>
      <c r="G255">
        <v>1</v>
      </c>
      <c r="H255">
        <v>2630</v>
      </c>
      <c r="I255" t="s">
        <v>2275</v>
      </c>
      <c r="M255" s="227" t="s">
        <v>2274</v>
      </c>
      <c r="N255" s="227">
        <v>66</v>
      </c>
      <c r="O255" s="227">
        <v>-0.16411700000000001</v>
      </c>
      <c r="P255" s="227">
        <v>-0.67245305</v>
      </c>
      <c r="Q255" s="227">
        <v>0.94143164000000001</v>
      </c>
      <c r="R255" s="227">
        <v>1</v>
      </c>
      <c r="S255" s="227">
        <v>1</v>
      </c>
      <c r="T255" s="227">
        <v>2630</v>
      </c>
      <c r="U255" s="227" t="s">
        <v>2275</v>
      </c>
    </row>
    <row r="256" spans="1:21" x14ac:dyDescent="0.25">
      <c r="A256" t="s">
        <v>2276</v>
      </c>
      <c r="B256">
        <v>27</v>
      </c>
      <c r="C256">
        <v>-0.2006549</v>
      </c>
      <c r="D256">
        <v>-0.6665702</v>
      </c>
      <c r="E256">
        <v>0.93291400000000002</v>
      </c>
      <c r="F256">
        <v>1</v>
      </c>
      <c r="G256">
        <v>1</v>
      </c>
      <c r="H256">
        <v>1547</v>
      </c>
      <c r="I256" t="s">
        <v>2277</v>
      </c>
      <c r="M256" s="227" t="s">
        <v>2276</v>
      </c>
      <c r="N256" s="227">
        <v>27</v>
      </c>
      <c r="O256" s="227">
        <v>-0.2006549</v>
      </c>
      <c r="P256" s="227">
        <v>-0.6665702</v>
      </c>
      <c r="Q256" s="227">
        <v>0.93291400000000002</v>
      </c>
      <c r="R256" s="227">
        <v>1</v>
      </c>
      <c r="S256" s="227">
        <v>1</v>
      </c>
      <c r="T256" s="227">
        <v>1547</v>
      </c>
      <c r="U256" s="227" t="s">
        <v>2277</v>
      </c>
    </row>
    <row r="257" spans="1:21" x14ac:dyDescent="0.25">
      <c r="A257" t="s">
        <v>2278</v>
      </c>
      <c r="B257">
        <v>44</v>
      </c>
      <c r="C257">
        <v>-0.18268219999999999</v>
      </c>
      <c r="D257">
        <v>-0.66359270000000004</v>
      </c>
      <c r="E257">
        <v>0.97171719999999995</v>
      </c>
      <c r="F257">
        <v>1</v>
      </c>
      <c r="G257">
        <v>1</v>
      </c>
      <c r="H257">
        <v>2743</v>
      </c>
      <c r="I257" t="s">
        <v>2279</v>
      </c>
      <c r="M257" s="227" t="s">
        <v>2278</v>
      </c>
      <c r="N257" s="227">
        <v>44</v>
      </c>
      <c r="O257" s="227">
        <v>-0.18268219999999999</v>
      </c>
      <c r="P257" s="227">
        <v>-0.66359270000000004</v>
      </c>
      <c r="Q257" s="227">
        <v>0.97171719999999995</v>
      </c>
      <c r="R257" s="227">
        <v>1</v>
      </c>
      <c r="S257" s="227">
        <v>1</v>
      </c>
      <c r="T257" s="227">
        <v>2743</v>
      </c>
      <c r="U257" s="227" t="s">
        <v>2279</v>
      </c>
    </row>
    <row r="258" spans="1:21" x14ac:dyDescent="0.25">
      <c r="A258" t="s">
        <v>2280</v>
      </c>
      <c r="B258">
        <v>20</v>
      </c>
      <c r="C258">
        <v>-0.23592252</v>
      </c>
      <c r="D258">
        <v>-0.66309039999999997</v>
      </c>
      <c r="E258">
        <v>0.90263694999999999</v>
      </c>
      <c r="F258">
        <v>1</v>
      </c>
      <c r="G258">
        <v>1</v>
      </c>
      <c r="H258">
        <v>2864</v>
      </c>
      <c r="I258" t="s">
        <v>2068</v>
      </c>
      <c r="M258" s="227" t="s">
        <v>2280</v>
      </c>
      <c r="N258" s="227">
        <v>20</v>
      </c>
      <c r="O258" s="227">
        <v>-0.23592252</v>
      </c>
      <c r="P258" s="227">
        <v>-0.66309039999999997</v>
      </c>
      <c r="Q258" s="227">
        <v>0.90263694999999999</v>
      </c>
      <c r="R258" s="227">
        <v>1</v>
      </c>
      <c r="S258" s="227">
        <v>1</v>
      </c>
      <c r="T258" s="227">
        <v>2864</v>
      </c>
      <c r="U258" s="227" t="s">
        <v>2068</v>
      </c>
    </row>
    <row r="259" spans="1:21" x14ac:dyDescent="0.25">
      <c r="A259" t="s">
        <v>2281</v>
      </c>
      <c r="B259">
        <v>51</v>
      </c>
      <c r="C259">
        <v>-0.18149460000000001</v>
      </c>
      <c r="D259">
        <v>-0.65400449999999999</v>
      </c>
      <c r="E259">
        <v>0.95824635000000002</v>
      </c>
      <c r="F259">
        <v>1</v>
      </c>
      <c r="G259">
        <v>1</v>
      </c>
      <c r="H259">
        <v>1955</v>
      </c>
      <c r="I259" t="s">
        <v>2094</v>
      </c>
      <c r="M259" s="227" t="s">
        <v>2281</v>
      </c>
      <c r="N259" s="227">
        <v>51</v>
      </c>
      <c r="O259" s="227">
        <v>-0.18149460000000001</v>
      </c>
      <c r="P259" s="227">
        <v>-0.65400449999999999</v>
      </c>
      <c r="Q259" s="227">
        <v>0.95824635000000002</v>
      </c>
      <c r="R259" s="227">
        <v>1</v>
      </c>
      <c r="S259" s="227">
        <v>1</v>
      </c>
      <c r="T259" s="227">
        <v>1955</v>
      </c>
      <c r="U259" s="227" t="s">
        <v>2094</v>
      </c>
    </row>
    <row r="260" spans="1:21" x14ac:dyDescent="0.25">
      <c r="A260" t="s">
        <v>2282</v>
      </c>
      <c r="B260">
        <v>84</v>
      </c>
      <c r="C260">
        <v>-0.17135908999999999</v>
      </c>
      <c r="D260">
        <v>-0.65332973000000005</v>
      </c>
      <c r="E260">
        <v>0.96382979999999996</v>
      </c>
      <c r="F260">
        <v>1</v>
      </c>
      <c r="G260">
        <v>1</v>
      </c>
      <c r="H260">
        <v>2586</v>
      </c>
      <c r="I260" t="s">
        <v>2283</v>
      </c>
      <c r="M260" s="227" t="s">
        <v>2282</v>
      </c>
      <c r="N260" s="227">
        <v>84</v>
      </c>
      <c r="O260" s="227">
        <v>-0.17135908999999999</v>
      </c>
      <c r="P260" s="227">
        <v>-0.65332973000000005</v>
      </c>
      <c r="Q260" s="227">
        <v>0.96382979999999996</v>
      </c>
      <c r="R260" s="227">
        <v>1</v>
      </c>
      <c r="S260" s="227">
        <v>1</v>
      </c>
      <c r="T260" s="227">
        <v>2586</v>
      </c>
      <c r="U260" s="227" t="s">
        <v>2283</v>
      </c>
    </row>
    <row r="261" spans="1:21" x14ac:dyDescent="0.25">
      <c r="A261" t="s">
        <v>2284</v>
      </c>
      <c r="B261">
        <v>28</v>
      </c>
      <c r="C261">
        <v>-0.19739717000000001</v>
      </c>
      <c r="D261">
        <v>-0.64426273000000001</v>
      </c>
      <c r="E261">
        <v>0.95744680000000004</v>
      </c>
      <c r="F261">
        <v>1</v>
      </c>
      <c r="G261">
        <v>1</v>
      </c>
      <c r="H261">
        <v>2691</v>
      </c>
      <c r="I261" t="s">
        <v>2207</v>
      </c>
      <c r="M261" s="227" t="s">
        <v>2284</v>
      </c>
      <c r="N261" s="227">
        <v>28</v>
      </c>
      <c r="O261" s="227">
        <v>-0.19739717000000001</v>
      </c>
      <c r="P261" s="227">
        <v>-0.64426273000000001</v>
      </c>
      <c r="Q261" s="227">
        <v>0.95744680000000004</v>
      </c>
      <c r="R261" s="227">
        <v>1</v>
      </c>
      <c r="S261" s="227">
        <v>1</v>
      </c>
      <c r="T261" s="227">
        <v>2691</v>
      </c>
      <c r="U261" s="227" t="s">
        <v>2207</v>
      </c>
    </row>
    <row r="262" spans="1:21" x14ac:dyDescent="0.25">
      <c r="A262" t="s">
        <v>2285</v>
      </c>
      <c r="B262">
        <v>32</v>
      </c>
      <c r="C262">
        <v>-0.18624435</v>
      </c>
      <c r="D262">
        <v>-0.642069</v>
      </c>
      <c r="E262">
        <v>0.91322314999999998</v>
      </c>
      <c r="F262">
        <v>1</v>
      </c>
      <c r="G262">
        <v>1</v>
      </c>
      <c r="H262">
        <v>3343</v>
      </c>
      <c r="I262" t="s">
        <v>2239</v>
      </c>
      <c r="M262" s="227" t="s">
        <v>2285</v>
      </c>
      <c r="N262" s="227">
        <v>32</v>
      </c>
      <c r="O262" s="227">
        <v>-0.18624435</v>
      </c>
      <c r="P262" s="227">
        <v>-0.642069</v>
      </c>
      <c r="Q262" s="227">
        <v>0.91322314999999998</v>
      </c>
      <c r="R262" s="227">
        <v>1</v>
      </c>
      <c r="S262" s="227">
        <v>1</v>
      </c>
      <c r="T262" s="227">
        <v>3343</v>
      </c>
      <c r="U262" s="227" t="s">
        <v>2239</v>
      </c>
    </row>
    <row r="263" spans="1:21" x14ac:dyDescent="0.25">
      <c r="A263" t="s">
        <v>2286</v>
      </c>
      <c r="B263">
        <v>16</v>
      </c>
      <c r="C263">
        <v>-0.22359720999999999</v>
      </c>
      <c r="D263">
        <v>-0.63759803999999998</v>
      </c>
      <c r="E263">
        <v>0.90212769999999998</v>
      </c>
      <c r="F263">
        <v>1</v>
      </c>
      <c r="G263">
        <v>1</v>
      </c>
      <c r="H263">
        <v>2645</v>
      </c>
      <c r="I263" t="s">
        <v>2287</v>
      </c>
      <c r="M263" s="227" t="s">
        <v>2286</v>
      </c>
      <c r="N263" s="227">
        <v>16</v>
      </c>
      <c r="O263" s="227">
        <v>-0.22359720999999999</v>
      </c>
      <c r="P263" s="227">
        <v>-0.63759803999999998</v>
      </c>
      <c r="Q263" s="227">
        <v>0.90212769999999998</v>
      </c>
      <c r="R263" s="227">
        <v>1</v>
      </c>
      <c r="S263" s="227">
        <v>1</v>
      </c>
      <c r="T263" s="227">
        <v>2645</v>
      </c>
      <c r="U263" s="227" t="s">
        <v>2287</v>
      </c>
    </row>
    <row r="264" spans="1:21" x14ac:dyDescent="0.25">
      <c r="A264" t="s">
        <v>2288</v>
      </c>
      <c r="B264">
        <v>80</v>
      </c>
      <c r="C264">
        <v>-0.16280863000000001</v>
      </c>
      <c r="D264">
        <v>-0.63648753999999996</v>
      </c>
      <c r="E264">
        <v>0.94969820000000005</v>
      </c>
      <c r="F264">
        <v>1</v>
      </c>
      <c r="G264">
        <v>1</v>
      </c>
      <c r="H264">
        <v>2188</v>
      </c>
      <c r="I264" t="s">
        <v>2289</v>
      </c>
      <c r="M264" s="227" t="s">
        <v>2288</v>
      </c>
      <c r="N264" s="227">
        <v>80</v>
      </c>
      <c r="O264" s="227">
        <v>-0.16280863000000001</v>
      </c>
      <c r="P264" s="227">
        <v>-0.63648753999999996</v>
      </c>
      <c r="Q264" s="227">
        <v>0.94969820000000005</v>
      </c>
      <c r="R264" s="227">
        <v>1</v>
      </c>
      <c r="S264" s="227">
        <v>1</v>
      </c>
      <c r="T264" s="227">
        <v>2188</v>
      </c>
      <c r="U264" s="227" t="s">
        <v>2289</v>
      </c>
    </row>
    <row r="265" spans="1:21" x14ac:dyDescent="0.25">
      <c r="A265" t="s">
        <v>2290</v>
      </c>
      <c r="B265">
        <v>59</v>
      </c>
      <c r="C265">
        <v>-0.16617586000000001</v>
      </c>
      <c r="D265">
        <v>-0.63565760000000004</v>
      </c>
      <c r="E265">
        <v>0.97499999999999998</v>
      </c>
      <c r="F265">
        <v>1</v>
      </c>
      <c r="G265">
        <v>1</v>
      </c>
      <c r="H265">
        <v>1955</v>
      </c>
      <c r="I265" t="s">
        <v>2291</v>
      </c>
      <c r="M265" s="227" t="s">
        <v>2290</v>
      </c>
      <c r="N265" s="227">
        <v>59</v>
      </c>
      <c r="O265" s="227">
        <v>-0.16617586000000001</v>
      </c>
      <c r="P265" s="227">
        <v>-0.63565760000000004</v>
      </c>
      <c r="Q265" s="227">
        <v>0.97499999999999998</v>
      </c>
      <c r="R265" s="227">
        <v>1</v>
      </c>
      <c r="S265" s="227">
        <v>1</v>
      </c>
      <c r="T265" s="227">
        <v>1955</v>
      </c>
      <c r="U265" s="227" t="s">
        <v>2291</v>
      </c>
    </row>
    <row r="266" spans="1:21" x14ac:dyDescent="0.25">
      <c r="A266" t="s">
        <v>2292</v>
      </c>
      <c r="B266">
        <v>24</v>
      </c>
      <c r="C266">
        <v>-0.18105251999999999</v>
      </c>
      <c r="D266">
        <v>-0.62880206000000005</v>
      </c>
      <c r="E266">
        <v>0.97113400000000005</v>
      </c>
      <c r="F266">
        <v>1</v>
      </c>
      <c r="G266">
        <v>1</v>
      </c>
      <c r="H266">
        <v>2723</v>
      </c>
      <c r="I266" t="s">
        <v>2068</v>
      </c>
      <c r="M266" s="227" t="s">
        <v>2292</v>
      </c>
      <c r="N266" s="227">
        <v>24</v>
      </c>
      <c r="O266" s="227">
        <v>-0.18105251999999999</v>
      </c>
      <c r="P266" s="227">
        <v>-0.62880206000000005</v>
      </c>
      <c r="Q266" s="227">
        <v>0.97113400000000005</v>
      </c>
      <c r="R266" s="227">
        <v>1</v>
      </c>
      <c r="S266" s="227">
        <v>1</v>
      </c>
      <c r="T266" s="227">
        <v>2723</v>
      </c>
      <c r="U266" s="227" t="s">
        <v>2068</v>
      </c>
    </row>
    <row r="267" spans="1:21" x14ac:dyDescent="0.25">
      <c r="A267" t="s">
        <v>2293</v>
      </c>
      <c r="B267">
        <v>16</v>
      </c>
      <c r="C267">
        <v>-0.20391664000000001</v>
      </c>
      <c r="D267">
        <v>-0.62841849999999999</v>
      </c>
      <c r="E267">
        <v>0.94736843999999998</v>
      </c>
      <c r="F267">
        <v>1</v>
      </c>
      <c r="G267">
        <v>1</v>
      </c>
      <c r="H267">
        <v>3828</v>
      </c>
      <c r="I267" t="s">
        <v>2294</v>
      </c>
      <c r="M267" s="227" t="s">
        <v>2293</v>
      </c>
      <c r="N267" s="227">
        <v>16</v>
      </c>
      <c r="O267" s="227">
        <v>-0.20391664000000001</v>
      </c>
      <c r="P267" s="227">
        <v>-0.62841849999999999</v>
      </c>
      <c r="Q267" s="227">
        <v>0.94736843999999998</v>
      </c>
      <c r="R267" s="227">
        <v>1</v>
      </c>
      <c r="S267" s="227">
        <v>1</v>
      </c>
      <c r="T267" s="227">
        <v>3828</v>
      </c>
      <c r="U267" s="227" t="s">
        <v>2294</v>
      </c>
    </row>
    <row r="268" spans="1:21" x14ac:dyDescent="0.25">
      <c r="A268" t="s">
        <v>2295</v>
      </c>
      <c r="B268">
        <v>15</v>
      </c>
      <c r="C268">
        <v>-0.21806171999999999</v>
      </c>
      <c r="D268">
        <v>-0.62647414000000001</v>
      </c>
      <c r="E268">
        <v>0.91886409999999996</v>
      </c>
      <c r="F268">
        <v>1</v>
      </c>
      <c r="G268">
        <v>1</v>
      </c>
      <c r="H268">
        <v>3451</v>
      </c>
      <c r="I268" t="s">
        <v>2296</v>
      </c>
      <c r="M268" s="227" t="s">
        <v>2295</v>
      </c>
      <c r="N268" s="227">
        <v>15</v>
      </c>
      <c r="O268" s="227">
        <v>-0.21806171999999999</v>
      </c>
      <c r="P268" s="227">
        <v>-0.62647414000000001</v>
      </c>
      <c r="Q268" s="227">
        <v>0.91886409999999996</v>
      </c>
      <c r="R268" s="227">
        <v>1</v>
      </c>
      <c r="S268" s="227">
        <v>1</v>
      </c>
      <c r="T268" s="227">
        <v>3451</v>
      </c>
      <c r="U268" s="227" t="s">
        <v>2296</v>
      </c>
    </row>
    <row r="269" spans="1:21" x14ac:dyDescent="0.25">
      <c r="A269" t="s">
        <v>2297</v>
      </c>
      <c r="B269">
        <v>21</v>
      </c>
      <c r="C269">
        <v>-0.19808695000000001</v>
      </c>
      <c r="D269">
        <v>-0.62242096999999996</v>
      </c>
      <c r="E269">
        <v>0.94703389999999998</v>
      </c>
      <c r="F269">
        <v>1</v>
      </c>
      <c r="G269">
        <v>1</v>
      </c>
      <c r="H269">
        <v>763</v>
      </c>
      <c r="I269" t="s">
        <v>2298</v>
      </c>
      <c r="M269" s="227" t="s">
        <v>2297</v>
      </c>
      <c r="N269" s="227">
        <v>21</v>
      </c>
      <c r="O269" s="227">
        <v>-0.19808695000000001</v>
      </c>
      <c r="P269" s="227">
        <v>-0.62242096999999996</v>
      </c>
      <c r="Q269" s="227">
        <v>0.94703389999999998</v>
      </c>
      <c r="R269" s="227">
        <v>1</v>
      </c>
      <c r="S269" s="227">
        <v>1</v>
      </c>
      <c r="T269" s="227">
        <v>763</v>
      </c>
      <c r="U269" s="227" t="s">
        <v>2298</v>
      </c>
    </row>
    <row r="270" spans="1:21" x14ac:dyDescent="0.25">
      <c r="A270" t="s">
        <v>2299</v>
      </c>
      <c r="B270">
        <v>58</v>
      </c>
      <c r="C270">
        <v>-0.15526110000000001</v>
      </c>
      <c r="D270">
        <v>-0.61996660000000003</v>
      </c>
      <c r="E270">
        <v>0.97356825999999996</v>
      </c>
      <c r="F270">
        <v>1</v>
      </c>
      <c r="G270">
        <v>1</v>
      </c>
      <c r="H270">
        <v>2630</v>
      </c>
      <c r="I270" t="s">
        <v>2283</v>
      </c>
      <c r="M270" s="227" t="s">
        <v>2299</v>
      </c>
      <c r="N270" s="227">
        <v>58</v>
      </c>
      <c r="O270" s="227">
        <v>-0.15526110000000001</v>
      </c>
      <c r="P270" s="227">
        <v>-0.61996660000000003</v>
      </c>
      <c r="Q270" s="227">
        <v>0.97356825999999996</v>
      </c>
      <c r="R270" s="227">
        <v>1</v>
      </c>
      <c r="S270" s="227">
        <v>1</v>
      </c>
      <c r="T270" s="227">
        <v>2630</v>
      </c>
      <c r="U270" s="227" t="s">
        <v>2283</v>
      </c>
    </row>
    <row r="271" spans="1:21" x14ac:dyDescent="0.25">
      <c r="A271" t="s">
        <v>2300</v>
      </c>
      <c r="B271">
        <v>58</v>
      </c>
      <c r="C271">
        <v>-0.15526103999999999</v>
      </c>
      <c r="D271">
        <v>-0.61996640000000003</v>
      </c>
      <c r="E271">
        <v>0.97356825999999996</v>
      </c>
      <c r="F271">
        <v>1</v>
      </c>
      <c r="G271">
        <v>1</v>
      </c>
      <c r="H271">
        <v>2630</v>
      </c>
      <c r="I271" t="s">
        <v>2283</v>
      </c>
      <c r="M271" s="227" t="s">
        <v>2300</v>
      </c>
      <c r="N271" s="227">
        <v>58</v>
      </c>
      <c r="O271" s="227">
        <v>-0.15526103999999999</v>
      </c>
      <c r="P271" s="227">
        <v>-0.61996640000000003</v>
      </c>
      <c r="Q271" s="227">
        <v>0.97356825999999996</v>
      </c>
      <c r="R271" s="227">
        <v>1</v>
      </c>
      <c r="S271" s="227">
        <v>1</v>
      </c>
      <c r="T271" s="227">
        <v>2630</v>
      </c>
      <c r="U271" s="227" t="s">
        <v>2283</v>
      </c>
    </row>
    <row r="272" spans="1:21" x14ac:dyDescent="0.25">
      <c r="A272" t="s">
        <v>2301</v>
      </c>
      <c r="B272">
        <v>28</v>
      </c>
      <c r="C272">
        <v>-0.17404796</v>
      </c>
      <c r="D272">
        <v>-0.61669563999999999</v>
      </c>
      <c r="E272">
        <v>0.95143485000000005</v>
      </c>
      <c r="F272">
        <v>1</v>
      </c>
      <c r="G272">
        <v>1</v>
      </c>
      <c r="H272">
        <v>4668</v>
      </c>
      <c r="I272" t="s">
        <v>2302</v>
      </c>
      <c r="M272" s="227" t="s">
        <v>2301</v>
      </c>
      <c r="N272" s="227">
        <v>28</v>
      </c>
      <c r="O272" s="227">
        <v>-0.17404796</v>
      </c>
      <c r="P272" s="227">
        <v>-0.61669563999999999</v>
      </c>
      <c r="Q272" s="227">
        <v>0.95143485000000005</v>
      </c>
      <c r="R272" s="227">
        <v>1</v>
      </c>
      <c r="S272" s="227">
        <v>1</v>
      </c>
      <c r="T272" s="227">
        <v>4668</v>
      </c>
      <c r="U272" s="227" t="s">
        <v>2302</v>
      </c>
    </row>
    <row r="273" spans="1:21" x14ac:dyDescent="0.25">
      <c r="A273" t="s">
        <v>2303</v>
      </c>
      <c r="B273">
        <v>27</v>
      </c>
      <c r="C273">
        <v>-0.19647333</v>
      </c>
      <c r="D273">
        <v>-0.60763449999999997</v>
      </c>
      <c r="E273">
        <v>0.97173909999999997</v>
      </c>
      <c r="F273">
        <v>1</v>
      </c>
      <c r="G273">
        <v>1</v>
      </c>
      <c r="H273">
        <v>316</v>
      </c>
      <c r="I273" t="s">
        <v>2304</v>
      </c>
      <c r="M273" s="227" t="s">
        <v>2303</v>
      </c>
      <c r="N273" s="227">
        <v>27</v>
      </c>
      <c r="O273" s="227">
        <v>-0.19647333</v>
      </c>
      <c r="P273" s="227">
        <v>-0.60763449999999997</v>
      </c>
      <c r="Q273" s="227">
        <v>0.97173909999999997</v>
      </c>
      <c r="R273" s="227">
        <v>1</v>
      </c>
      <c r="S273" s="227">
        <v>1</v>
      </c>
      <c r="T273" s="227">
        <v>316</v>
      </c>
      <c r="U273" s="227" t="s">
        <v>2304</v>
      </c>
    </row>
    <row r="274" spans="1:21" x14ac:dyDescent="0.25">
      <c r="A274" t="s">
        <v>2305</v>
      </c>
      <c r="B274">
        <v>42</v>
      </c>
      <c r="C274">
        <v>-0.15959279000000001</v>
      </c>
      <c r="D274">
        <v>-0.59024655999999998</v>
      </c>
      <c r="E274">
        <v>0.97987926000000003</v>
      </c>
      <c r="F274">
        <v>1</v>
      </c>
      <c r="G274">
        <v>1</v>
      </c>
      <c r="H274">
        <v>5237</v>
      </c>
      <c r="I274" t="s">
        <v>2306</v>
      </c>
      <c r="M274" s="227" t="s">
        <v>2305</v>
      </c>
      <c r="N274" s="227">
        <v>42</v>
      </c>
      <c r="O274" s="227">
        <v>-0.15959279000000001</v>
      </c>
      <c r="P274" s="227">
        <v>-0.59024655999999998</v>
      </c>
      <c r="Q274" s="227">
        <v>0.97987926000000003</v>
      </c>
      <c r="R274" s="227">
        <v>1</v>
      </c>
      <c r="S274" s="227">
        <v>1</v>
      </c>
      <c r="T274" s="227">
        <v>5237</v>
      </c>
      <c r="U274" s="227" t="s">
        <v>2306</v>
      </c>
    </row>
    <row r="275" spans="1:21" x14ac:dyDescent="0.25">
      <c r="A275" t="s">
        <v>2307</v>
      </c>
      <c r="B275">
        <v>204</v>
      </c>
      <c r="C275">
        <v>-0.15274741999999999</v>
      </c>
      <c r="D275">
        <v>-0.58949393000000005</v>
      </c>
      <c r="E275">
        <v>0.98663699999999999</v>
      </c>
      <c r="F275">
        <v>1</v>
      </c>
      <c r="G275">
        <v>1</v>
      </c>
      <c r="H275">
        <v>3167</v>
      </c>
      <c r="I275" t="s">
        <v>2145</v>
      </c>
      <c r="M275" s="227" t="s">
        <v>2307</v>
      </c>
      <c r="N275" s="227">
        <v>204</v>
      </c>
      <c r="O275" s="227">
        <v>-0.15274741999999999</v>
      </c>
      <c r="P275" s="227">
        <v>-0.58949393000000005</v>
      </c>
      <c r="Q275" s="227">
        <v>0.98663699999999999</v>
      </c>
      <c r="R275" s="227">
        <v>1</v>
      </c>
      <c r="S275" s="227">
        <v>1</v>
      </c>
      <c r="T275" s="227">
        <v>3167</v>
      </c>
      <c r="U275" s="227" t="s">
        <v>2145</v>
      </c>
    </row>
    <row r="276" spans="1:21" x14ac:dyDescent="0.25">
      <c r="A276" t="s">
        <v>2308</v>
      </c>
      <c r="B276">
        <v>95</v>
      </c>
      <c r="C276">
        <v>-0.14583570000000001</v>
      </c>
      <c r="D276">
        <v>-0.58260590000000001</v>
      </c>
      <c r="E276">
        <v>0.98393569999999997</v>
      </c>
      <c r="F276">
        <v>1</v>
      </c>
      <c r="G276">
        <v>1</v>
      </c>
      <c r="H276">
        <v>1736</v>
      </c>
      <c r="I276" t="s">
        <v>2309</v>
      </c>
      <c r="M276" s="227" t="s">
        <v>2308</v>
      </c>
      <c r="N276" s="227">
        <v>95</v>
      </c>
      <c r="O276" s="227">
        <v>-0.14583570000000001</v>
      </c>
      <c r="P276" s="227">
        <v>-0.58260590000000001</v>
      </c>
      <c r="Q276" s="227">
        <v>0.98393569999999997</v>
      </c>
      <c r="R276" s="227">
        <v>1</v>
      </c>
      <c r="S276" s="227">
        <v>1</v>
      </c>
      <c r="T276" s="227">
        <v>1736</v>
      </c>
      <c r="U276" s="227" t="s">
        <v>2309</v>
      </c>
    </row>
    <row r="277" spans="1:21" x14ac:dyDescent="0.25">
      <c r="A277" t="s">
        <v>2310</v>
      </c>
      <c r="B277">
        <v>16</v>
      </c>
      <c r="C277">
        <v>-0.22698921</v>
      </c>
      <c r="D277">
        <v>-0.57028489999999998</v>
      </c>
      <c r="E277">
        <v>0.91701244999999998</v>
      </c>
      <c r="F277">
        <v>1</v>
      </c>
      <c r="G277">
        <v>1</v>
      </c>
      <c r="H277">
        <v>5126</v>
      </c>
      <c r="I277" t="s">
        <v>2311</v>
      </c>
      <c r="M277" s="227" t="s">
        <v>2310</v>
      </c>
      <c r="N277" s="227">
        <v>16</v>
      </c>
      <c r="O277" s="227">
        <v>-0.22698921</v>
      </c>
      <c r="P277" s="227">
        <v>-0.57028489999999998</v>
      </c>
      <c r="Q277" s="227">
        <v>0.91701244999999998</v>
      </c>
      <c r="R277" s="227">
        <v>1</v>
      </c>
      <c r="S277" s="227">
        <v>1</v>
      </c>
      <c r="T277" s="227">
        <v>5126</v>
      </c>
      <c r="U277" s="227" t="s">
        <v>2311</v>
      </c>
    </row>
    <row r="278" spans="1:21" x14ac:dyDescent="0.25">
      <c r="A278" t="s">
        <v>2312</v>
      </c>
      <c r="B278">
        <v>16</v>
      </c>
      <c r="C278">
        <v>-0.20463133</v>
      </c>
      <c r="D278">
        <v>-0.56796869999999999</v>
      </c>
      <c r="E278">
        <v>0.95652174999999995</v>
      </c>
      <c r="F278">
        <v>1</v>
      </c>
      <c r="G278">
        <v>1</v>
      </c>
      <c r="H278">
        <v>3554</v>
      </c>
      <c r="I278" t="s">
        <v>2313</v>
      </c>
      <c r="M278" s="227" t="s">
        <v>2312</v>
      </c>
      <c r="N278" s="227">
        <v>16</v>
      </c>
      <c r="O278" s="227">
        <v>-0.20463133</v>
      </c>
      <c r="P278" s="227">
        <v>-0.56796869999999999</v>
      </c>
      <c r="Q278" s="227">
        <v>0.95652174999999995</v>
      </c>
      <c r="R278" s="227">
        <v>1</v>
      </c>
      <c r="S278" s="227">
        <v>1</v>
      </c>
      <c r="T278" s="227">
        <v>3554</v>
      </c>
      <c r="U278" s="227" t="s">
        <v>2313</v>
      </c>
    </row>
    <row r="279" spans="1:21" x14ac:dyDescent="0.25">
      <c r="A279" t="s">
        <v>2314</v>
      </c>
      <c r="B279">
        <v>15</v>
      </c>
      <c r="C279">
        <v>-0.20374887</v>
      </c>
      <c r="D279">
        <v>-0.55995119999999998</v>
      </c>
      <c r="E279">
        <v>0.91881186000000004</v>
      </c>
      <c r="F279">
        <v>1</v>
      </c>
      <c r="G279">
        <v>1</v>
      </c>
      <c r="H279">
        <v>3010</v>
      </c>
      <c r="I279" t="s">
        <v>2256</v>
      </c>
      <c r="M279" s="227" t="s">
        <v>2314</v>
      </c>
      <c r="N279" s="227">
        <v>15</v>
      </c>
      <c r="O279" s="227">
        <v>-0.20374887</v>
      </c>
      <c r="P279" s="227">
        <v>-0.55995119999999998</v>
      </c>
      <c r="Q279" s="227">
        <v>0.91881186000000004</v>
      </c>
      <c r="R279" s="227">
        <v>1</v>
      </c>
      <c r="S279" s="227">
        <v>1</v>
      </c>
      <c r="T279" s="227">
        <v>3010</v>
      </c>
      <c r="U279" s="227" t="s">
        <v>2256</v>
      </c>
    </row>
    <row r="280" spans="1:21" x14ac:dyDescent="0.25">
      <c r="A280" t="s">
        <v>2315</v>
      </c>
      <c r="B280">
        <v>23</v>
      </c>
      <c r="C280">
        <v>-0.1744964</v>
      </c>
      <c r="D280">
        <v>-0.55410090000000001</v>
      </c>
      <c r="E280">
        <v>0.94642859999999995</v>
      </c>
      <c r="F280">
        <v>1</v>
      </c>
      <c r="G280">
        <v>1</v>
      </c>
      <c r="H280">
        <v>2443</v>
      </c>
      <c r="I280" t="s">
        <v>2316</v>
      </c>
      <c r="M280" s="227" t="s">
        <v>2315</v>
      </c>
      <c r="N280" s="227">
        <v>23</v>
      </c>
      <c r="O280" s="227">
        <v>-0.1744964</v>
      </c>
      <c r="P280" s="227">
        <v>-0.55410090000000001</v>
      </c>
      <c r="Q280" s="227">
        <v>0.94642859999999995</v>
      </c>
      <c r="R280" s="227">
        <v>1</v>
      </c>
      <c r="S280" s="227">
        <v>1</v>
      </c>
      <c r="T280" s="227">
        <v>2443</v>
      </c>
      <c r="U280" s="227" t="s">
        <v>2316</v>
      </c>
    </row>
    <row r="281" spans="1:21" x14ac:dyDescent="0.25">
      <c r="A281" t="s">
        <v>2317</v>
      </c>
      <c r="B281">
        <v>15</v>
      </c>
      <c r="C281">
        <v>-0.22888806</v>
      </c>
      <c r="D281">
        <v>-0.55375989999999997</v>
      </c>
      <c r="E281">
        <v>0.89684209999999998</v>
      </c>
      <c r="F281">
        <v>1</v>
      </c>
      <c r="G281">
        <v>1</v>
      </c>
      <c r="H281">
        <v>1740</v>
      </c>
      <c r="I281" t="s">
        <v>2318</v>
      </c>
      <c r="M281" s="227" t="s">
        <v>2317</v>
      </c>
      <c r="N281" s="227">
        <v>15</v>
      </c>
      <c r="O281" s="227">
        <v>-0.22888806</v>
      </c>
      <c r="P281" s="227">
        <v>-0.55375989999999997</v>
      </c>
      <c r="Q281" s="227">
        <v>0.89684209999999998</v>
      </c>
      <c r="R281" s="227">
        <v>1</v>
      </c>
      <c r="S281" s="227">
        <v>1</v>
      </c>
      <c r="T281" s="227">
        <v>1740</v>
      </c>
      <c r="U281" s="227" t="s">
        <v>2318</v>
      </c>
    </row>
    <row r="282" spans="1:21" x14ac:dyDescent="0.25">
      <c r="A282" t="s">
        <v>2319</v>
      </c>
      <c r="B282">
        <v>31</v>
      </c>
      <c r="C282">
        <v>-0.17049569000000001</v>
      </c>
      <c r="D282">
        <v>-0.55007505000000001</v>
      </c>
      <c r="E282">
        <v>0.97077245000000001</v>
      </c>
      <c r="F282">
        <v>1</v>
      </c>
      <c r="G282">
        <v>1</v>
      </c>
      <c r="H282">
        <v>3005</v>
      </c>
      <c r="I282" t="s">
        <v>2320</v>
      </c>
      <c r="M282" s="227" t="s">
        <v>2319</v>
      </c>
      <c r="N282" s="227">
        <v>31</v>
      </c>
      <c r="O282" s="227">
        <v>-0.17049569000000001</v>
      </c>
      <c r="P282" s="227">
        <v>-0.55007505000000001</v>
      </c>
      <c r="Q282" s="227">
        <v>0.97077245000000001</v>
      </c>
      <c r="R282" s="227">
        <v>1</v>
      </c>
      <c r="S282" s="227">
        <v>1</v>
      </c>
      <c r="T282" s="227">
        <v>3005</v>
      </c>
      <c r="U282" s="227" t="s">
        <v>2320</v>
      </c>
    </row>
    <row r="283" spans="1:21" x14ac:dyDescent="0.25">
      <c r="A283" t="s">
        <v>2321</v>
      </c>
      <c r="B283">
        <v>24</v>
      </c>
      <c r="C283">
        <v>-0.15791686999999999</v>
      </c>
      <c r="D283">
        <v>-0.53913665</v>
      </c>
      <c r="E283">
        <v>0.98654710000000001</v>
      </c>
      <c r="F283">
        <v>1</v>
      </c>
      <c r="G283">
        <v>1</v>
      </c>
      <c r="H283">
        <v>4668</v>
      </c>
      <c r="I283" t="s">
        <v>2322</v>
      </c>
      <c r="M283" s="227" t="s">
        <v>2321</v>
      </c>
      <c r="N283" s="227">
        <v>24</v>
      </c>
      <c r="O283" s="227">
        <v>-0.15791686999999999</v>
      </c>
      <c r="P283" s="227">
        <v>-0.53913665</v>
      </c>
      <c r="Q283" s="227">
        <v>0.98654710000000001</v>
      </c>
      <c r="R283" s="227">
        <v>1</v>
      </c>
      <c r="S283" s="227">
        <v>1</v>
      </c>
      <c r="T283" s="227">
        <v>4668</v>
      </c>
      <c r="U283" s="227" t="s">
        <v>2322</v>
      </c>
    </row>
    <row r="284" spans="1:21" x14ac:dyDescent="0.25">
      <c r="A284" t="s">
        <v>2323</v>
      </c>
      <c r="B284">
        <v>24</v>
      </c>
      <c r="C284">
        <v>-0.19235371000000001</v>
      </c>
      <c r="D284">
        <v>-0.53640944000000002</v>
      </c>
      <c r="E284">
        <v>0.96344083999999997</v>
      </c>
      <c r="F284">
        <v>1</v>
      </c>
      <c r="G284">
        <v>1</v>
      </c>
      <c r="H284">
        <v>5017</v>
      </c>
      <c r="I284" t="s">
        <v>2324</v>
      </c>
      <c r="M284" s="227" t="s">
        <v>2323</v>
      </c>
      <c r="N284" s="227">
        <v>24</v>
      </c>
      <c r="O284" s="227">
        <v>-0.19235371000000001</v>
      </c>
      <c r="P284" s="227">
        <v>-0.53640944000000002</v>
      </c>
      <c r="Q284" s="227">
        <v>0.96344083999999997</v>
      </c>
      <c r="R284" s="227">
        <v>1</v>
      </c>
      <c r="S284" s="227">
        <v>1</v>
      </c>
      <c r="T284" s="227">
        <v>5017</v>
      </c>
      <c r="U284" s="227" t="s">
        <v>2324</v>
      </c>
    </row>
    <row r="285" spans="1:21" x14ac:dyDescent="0.25">
      <c r="A285" t="s">
        <v>2325</v>
      </c>
      <c r="B285">
        <v>24</v>
      </c>
      <c r="C285">
        <v>-0.18125086000000001</v>
      </c>
      <c r="D285">
        <v>-0.53275380000000006</v>
      </c>
      <c r="E285">
        <v>0.93678159999999999</v>
      </c>
      <c r="F285">
        <v>1</v>
      </c>
      <c r="G285">
        <v>1</v>
      </c>
      <c r="H285">
        <v>5345</v>
      </c>
      <c r="I285" t="s">
        <v>2326</v>
      </c>
      <c r="M285" s="227" t="s">
        <v>2325</v>
      </c>
      <c r="N285" s="227">
        <v>24</v>
      </c>
      <c r="O285" s="227">
        <v>-0.18125086000000001</v>
      </c>
      <c r="P285" s="227">
        <v>-0.53275380000000006</v>
      </c>
      <c r="Q285" s="227">
        <v>0.93678159999999999</v>
      </c>
      <c r="R285" s="227">
        <v>1</v>
      </c>
      <c r="S285" s="227">
        <v>1</v>
      </c>
      <c r="T285" s="227">
        <v>5345</v>
      </c>
      <c r="U285" s="227" t="s">
        <v>2326</v>
      </c>
    </row>
    <row r="286" spans="1:21" x14ac:dyDescent="0.25">
      <c r="A286" t="s">
        <v>2327</v>
      </c>
      <c r="B286">
        <v>18</v>
      </c>
      <c r="C286">
        <v>-0.18237117</v>
      </c>
      <c r="D286">
        <v>-0.52649849999999998</v>
      </c>
      <c r="E286">
        <v>0.97629310000000002</v>
      </c>
      <c r="F286">
        <v>1</v>
      </c>
      <c r="G286">
        <v>1</v>
      </c>
      <c r="H286">
        <v>3761</v>
      </c>
      <c r="I286" t="s">
        <v>2328</v>
      </c>
      <c r="M286" s="227" t="s">
        <v>2327</v>
      </c>
      <c r="N286" s="227">
        <v>18</v>
      </c>
      <c r="O286" s="227">
        <v>-0.18237117</v>
      </c>
      <c r="P286" s="227">
        <v>-0.52649849999999998</v>
      </c>
      <c r="Q286" s="227">
        <v>0.97629310000000002</v>
      </c>
      <c r="R286" s="227">
        <v>1</v>
      </c>
      <c r="S286" s="227">
        <v>1</v>
      </c>
      <c r="T286" s="227">
        <v>3761</v>
      </c>
      <c r="U286" s="227" t="s">
        <v>2328</v>
      </c>
    </row>
    <row r="287" spans="1:21" x14ac:dyDescent="0.25">
      <c r="A287" t="s">
        <v>2329</v>
      </c>
      <c r="B287">
        <v>88</v>
      </c>
      <c r="C287">
        <v>-0.12013829500000001</v>
      </c>
      <c r="D287">
        <v>-0.51650995</v>
      </c>
      <c r="E287">
        <v>0.99782132999999995</v>
      </c>
      <c r="F287">
        <v>1</v>
      </c>
      <c r="G287">
        <v>1</v>
      </c>
      <c r="H287">
        <v>1955</v>
      </c>
      <c r="I287" t="s">
        <v>2330</v>
      </c>
      <c r="M287" s="227" t="s">
        <v>2329</v>
      </c>
      <c r="N287" s="227">
        <v>88</v>
      </c>
      <c r="O287" s="227">
        <v>-0.12013829500000001</v>
      </c>
      <c r="P287" s="227">
        <v>-0.51650995</v>
      </c>
      <c r="Q287" s="227">
        <v>0.99782132999999995</v>
      </c>
      <c r="R287" s="227">
        <v>1</v>
      </c>
      <c r="S287" s="227">
        <v>1</v>
      </c>
      <c r="T287" s="227">
        <v>1955</v>
      </c>
      <c r="U287" s="227" t="s">
        <v>2330</v>
      </c>
    </row>
    <row r="288" spans="1:21" x14ac:dyDescent="0.25">
      <c r="A288" t="s">
        <v>2331</v>
      </c>
      <c r="B288">
        <v>41</v>
      </c>
      <c r="C288">
        <v>-0.13856204999999999</v>
      </c>
      <c r="D288">
        <v>-0.51356729999999995</v>
      </c>
      <c r="E288">
        <v>0.99595959999999994</v>
      </c>
      <c r="F288">
        <v>1</v>
      </c>
      <c r="G288">
        <v>1</v>
      </c>
      <c r="H288">
        <v>5237</v>
      </c>
      <c r="I288" t="s">
        <v>2332</v>
      </c>
      <c r="M288" s="227" t="s">
        <v>2331</v>
      </c>
      <c r="N288" s="227">
        <v>41</v>
      </c>
      <c r="O288" s="227">
        <v>-0.13856204999999999</v>
      </c>
      <c r="P288" s="227">
        <v>-0.51356729999999995</v>
      </c>
      <c r="Q288" s="227">
        <v>0.99595959999999994</v>
      </c>
      <c r="R288" s="227">
        <v>1</v>
      </c>
      <c r="S288" s="227">
        <v>1</v>
      </c>
      <c r="T288" s="227">
        <v>5237</v>
      </c>
      <c r="U288" s="227" t="s">
        <v>2332</v>
      </c>
    </row>
    <row r="289" spans="1:21" x14ac:dyDescent="0.25">
      <c r="A289" t="s">
        <v>2333</v>
      </c>
      <c r="B289">
        <v>24</v>
      </c>
      <c r="C289">
        <v>-0.16042624</v>
      </c>
      <c r="D289">
        <v>-0.50950779999999996</v>
      </c>
      <c r="E289">
        <v>0.99789030000000001</v>
      </c>
      <c r="F289">
        <v>1</v>
      </c>
      <c r="G289">
        <v>1</v>
      </c>
      <c r="H289">
        <v>3637</v>
      </c>
      <c r="I289" t="s">
        <v>2334</v>
      </c>
      <c r="M289" s="227" t="s">
        <v>2333</v>
      </c>
      <c r="N289" s="227">
        <v>24</v>
      </c>
      <c r="O289" s="227">
        <v>-0.16042624</v>
      </c>
      <c r="P289" s="227">
        <v>-0.50950779999999996</v>
      </c>
      <c r="Q289" s="227">
        <v>0.99789030000000001</v>
      </c>
      <c r="R289" s="227">
        <v>1</v>
      </c>
      <c r="S289" s="227">
        <v>1</v>
      </c>
      <c r="T289" s="227">
        <v>3637</v>
      </c>
      <c r="U289" s="227" t="s">
        <v>2334</v>
      </c>
    </row>
    <row r="290" spans="1:21" x14ac:dyDescent="0.25">
      <c r="A290" t="s">
        <v>2335</v>
      </c>
      <c r="B290">
        <v>24</v>
      </c>
      <c r="C290">
        <v>-0.15468567999999999</v>
      </c>
      <c r="D290">
        <v>-0.50902860000000005</v>
      </c>
      <c r="E290">
        <v>0.99620489999999995</v>
      </c>
      <c r="F290">
        <v>0.99986489999999995</v>
      </c>
      <c r="G290">
        <v>1</v>
      </c>
      <c r="H290">
        <v>12914</v>
      </c>
      <c r="I290" t="s">
        <v>2336</v>
      </c>
      <c r="M290" s="227" t="s">
        <v>2335</v>
      </c>
      <c r="N290" s="227">
        <v>24</v>
      </c>
      <c r="O290" s="227">
        <v>-0.15468567999999999</v>
      </c>
      <c r="P290" s="227">
        <v>-0.50902860000000005</v>
      </c>
      <c r="Q290" s="227">
        <v>0.99620489999999995</v>
      </c>
      <c r="R290" s="227">
        <v>0.99986489999999995</v>
      </c>
      <c r="S290" s="227">
        <v>1</v>
      </c>
      <c r="T290" s="227">
        <v>12914</v>
      </c>
      <c r="U290" s="227" t="s">
        <v>2336</v>
      </c>
    </row>
    <row r="291" spans="1:21" x14ac:dyDescent="0.25">
      <c r="A291" t="s">
        <v>2337</v>
      </c>
      <c r="B291">
        <v>16</v>
      </c>
      <c r="C291">
        <v>-0.20379997999999999</v>
      </c>
      <c r="D291">
        <v>-0.50421727000000005</v>
      </c>
      <c r="E291">
        <v>0.9549356</v>
      </c>
      <c r="F291">
        <v>0.99763626000000005</v>
      </c>
      <c r="G291">
        <v>1</v>
      </c>
      <c r="H291">
        <v>1740</v>
      </c>
      <c r="I291" t="s">
        <v>2163</v>
      </c>
      <c r="M291" s="227" t="s">
        <v>2337</v>
      </c>
      <c r="N291" s="227">
        <v>16</v>
      </c>
      <c r="O291" s="227">
        <v>-0.20379997999999999</v>
      </c>
      <c r="P291" s="227">
        <v>-0.50421727000000005</v>
      </c>
      <c r="Q291" s="227">
        <v>0.9549356</v>
      </c>
      <c r="R291" s="227">
        <v>0.99763626000000005</v>
      </c>
      <c r="S291" s="227">
        <v>1</v>
      </c>
      <c r="T291" s="227">
        <v>1740</v>
      </c>
      <c r="U291" s="227" t="s">
        <v>2163</v>
      </c>
    </row>
    <row r="292" spans="1:21" x14ac:dyDescent="0.25">
      <c r="A292" t="s">
        <v>2338</v>
      </c>
      <c r="B292">
        <v>79</v>
      </c>
      <c r="C292">
        <v>-0.14511964999999999</v>
      </c>
      <c r="D292">
        <v>-0.46270347000000001</v>
      </c>
      <c r="E292">
        <v>0.95934960000000002</v>
      </c>
      <c r="F292">
        <v>1</v>
      </c>
      <c r="G292">
        <v>1</v>
      </c>
      <c r="H292">
        <v>3347</v>
      </c>
      <c r="I292" t="s">
        <v>2339</v>
      </c>
      <c r="M292" s="227" t="s">
        <v>2338</v>
      </c>
      <c r="N292" s="227">
        <v>79</v>
      </c>
      <c r="O292" s="227">
        <v>-0.14511964999999999</v>
      </c>
      <c r="P292" s="227">
        <v>-0.46270347000000001</v>
      </c>
      <c r="Q292" s="227">
        <v>0.95934960000000002</v>
      </c>
      <c r="R292" s="227">
        <v>1</v>
      </c>
      <c r="S292" s="227">
        <v>1</v>
      </c>
      <c r="T292" s="227">
        <v>3347</v>
      </c>
      <c r="U292" s="227" t="s">
        <v>2339</v>
      </c>
    </row>
    <row r="293" spans="1:21" x14ac:dyDescent="0.25">
      <c r="A293" t="s">
        <v>2340</v>
      </c>
      <c r="B293">
        <v>82</v>
      </c>
      <c r="C293">
        <v>-0.13678132000000001</v>
      </c>
      <c r="D293">
        <v>-0.4343321</v>
      </c>
      <c r="E293">
        <v>0.96747965000000002</v>
      </c>
      <c r="F293">
        <v>1</v>
      </c>
      <c r="G293">
        <v>1</v>
      </c>
      <c r="H293">
        <v>2738</v>
      </c>
      <c r="I293" t="s">
        <v>2341</v>
      </c>
      <c r="M293" s="227" t="s">
        <v>2340</v>
      </c>
      <c r="N293" s="227">
        <v>82</v>
      </c>
      <c r="O293" s="227">
        <v>-0.13678132000000001</v>
      </c>
      <c r="P293" s="227">
        <v>-0.4343321</v>
      </c>
      <c r="Q293" s="227">
        <v>0.96747965000000002</v>
      </c>
      <c r="R293" s="227">
        <v>1</v>
      </c>
      <c r="S293" s="227">
        <v>1</v>
      </c>
      <c r="T293" s="227">
        <v>2738</v>
      </c>
      <c r="U293" s="227" t="s">
        <v>2341</v>
      </c>
    </row>
    <row r="294" spans="1:21" x14ac:dyDescent="0.25">
      <c r="A294" t="s">
        <v>2342</v>
      </c>
      <c r="B294">
        <v>21</v>
      </c>
      <c r="C294">
        <v>-0.16604316</v>
      </c>
      <c r="D294">
        <v>-0.42568194999999998</v>
      </c>
      <c r="E294">
        <v>0.99352050000000003</v>
      </c>
      <c r="F294">
        <v>0.99932027000000001</v>
      </c>
      <c r="G294">
        <v>1</v>
      </c>
      <c r="H294">
        <v>5228</v>
      </c>
      <c r="I294" t="s">
        <v>2306</v>
      </c>
      <c r="M294" s="227" t="s">
        <v>2342</v>
      </c>
      <c r="N294" s="227">
        <v>21</v>
      </c>
      <c r="O294" s="227">
        <v>-0.16604316</v>
      </c>
      <c r="P294" s="227">
        <v>-0.42568194999999998</v>
      </c>
      <c r="Q294" s="227">
        <v>0.99352050000000003</v>
      </c>
      <c r="R294" s="227">
        <v>0.99932027000000001</v>
      </c>
      <c r="S294" s="227">
        <v>1</v>
      </c>
      <c r="T294" s="227">
        <v>5228</v>
      </c>
      <c r="U294" s="227" t="s">
        <v>2306</v>
      </c>
    </row>
    <row r="295" spans="1:21" x14ac:dyDescent="0.25">
      <c r="A295" t="s">
        <v>2343</v>
      </c>
      <c r="B295">
        <v>17</v>
      </c>
      <c r="C295">
        <v>-0.14306526999999999</v>
      </c>
      <c r="D295">
        <v>-0.42366922000000001</v>
      </c>
      <c r="E295">
        <v>0.99626862999999999</v>
      </c>
      <c r="F295">
        <v>0.99605376000000001</v>
      </c>
      <c r="G295">
        <v>1</v>
      </c>
      <c r="H295">
        <v>3915</v>
      </c>
      <c r="I295" t="s">
        <v>2344</v>
      </c>
      <c r="M295" s="227" t="s">
        <v>2343</v>
      </c>
      <c r="N295" s="227">
        <v>17</v>
      </c>
      <c r="O295" s="227">
        <v>-0.14306526999999999</v>
      </c>
      <c r="P295" s="227">
        <v>-0.42366922000000001</v>
      </c>
      <c r="Q295" s="227">
        <v>0.99626862999999999</v>
      </c>
      <c r="R295" s="227">
        <v>0.99605376000000001</v>
      </c>
      <c r="S295" s="227">
        <v>1</v>
      </c>
      <c r="T295" s="227">
        <v>3915</v>
      </c>
      <c r="U295" s="227" t="s">
        <v>2344</v>
      </c>
    </row>
    <row r="296" spans="1:21" x14ac:dyDescent="0.25">
      <c r="A296" t="s">
        <v>2380</v>
      </c>
      <c r="B296">
        <v>305</v>
      </c>
      <c r="C296">
        <v>0.37358168000000003</v>
      </c>
      <c r="D296">
        <v>1.1821845</v>
      </c>
      <c r="E296">
        <v>0.26362037999999999</v>
      </c>
      <c r="F296">
        <v>0.58287674</v>
      </c>
      <c r="G296">
        <v>1</v>
      </c>
      <c r="H296">
        <v>6380</v>
      </c>
      <c r="I296" t="s">
        <v>2381</v>
      </c>
      <c r="M296" s="227" t="s">
        <v>2380</v>
      </c>
      <c r="N296" s="227">
        <v>305</v>
      </c>
      <c r="O296" s="227">
        <v>0.37358168000000003</v>
      </c>
      <c r="P296" s="227">
        <v>1.1821845</v>
      </c>
      <c r="Q296" s="227">
        <v>0.26362037999999999</v>
      </c>
      <c r="R296" s="227">
        <v>0.58287674</v>
      </c>
      <c r="S296" s="227">
        <v>1</v>
      </c>
      <c r="T296" s="227">
        <v>6380</v>
      </c>
      <c r="U296" s="227" t="s">
        <v>2381</v>
      </c>
    </row>
    <row r="297" spans="1:21" x14ac:dyDescent="0.25">
      <c r="A297" t="s">
        <v>2382</v>
      </c>
      <c r="B297">
        <v>127</v>
      </c>
      <c r="C297">
        <v>0.30192232000000002</v>
      </c>
      <c r="D297">
        <v>1.1812176000000001</v>
      </c>
      <c r="E297">
        <v>0.22344322999999999</v>
      </c>
      <c r="F297">
        <v>0.58288276000000006</v>
      </c>
      <c r="G297">
        <v>1</v>
      </c>
      <c r="H297">
        <v>4826</v>
      </c>
      <c r="I297" t="s">
        <v>2383</v>
      </c>
      <c r="M297" s="227" t="s">
        <v>2382</v>
      </c>
      <c r="N297" s="227">
        <v>127</v>
      </c>
      <c r="O297" s="227">
        <v>0.30192232000000002</v>
      </c>
      <c r="P297" s="227">
        <v>1.1812176000000001</v>
      </c>
      <c r="Q297" s="227">
        <v>0.22344322999999999</v>
      </c>
      <c r="R297" s="227">
        <v>0.58288276000000006</v>
      </c>
      <c r="S297" s="227">
        <v>1</v>
      </c>
      <c r="T297" s="227">
        <v>4826</v>
      </c>
      <c r="U297" s="227" t="s">
        <v>2383</v>
      </c>
    </row>
    <row r="298" spans="1:21" x14ac:dyDescent="0.25">
      <c r="A298" t="s">
        <v>2384</v>
      </c>
      <c r="B298">
        <v>42</v>
      </c>
      <c r="C298">
        <v>0.32009029999999999</v>
      </c>
      <c r="D298">
        <v>1.1802049999999999</v>
      </c>
      <c r="E298">
        <v>0.21428572000000001</v>
      </c>
      <c r="F298">
        <v>0.58313775000000001</v>
      </c>
      <c r="G298">
        <v>1</v>
      </c>
      <c r="H298">
        <v>6579</v>
      </c>
      <c r="I298" t="s">
        <v>2385</v>
      </c>
      <c r="M298" s="227" t="s">
        <v>2384</v>
      </c>
      <c r="N298" s="227">
        <v>42</v>
      </c>
      <c r="O298" s="227">
        <v>0.32009029999999999</v>
      </c>
      <c r="P298" s="227">
        <v>1.1802049999999999</v>
      </c>
      <c r="Q298" s="227">
        <v>0.21428572000000001</v>
      </c>
      <c r="R298" s="227">
        <v>0.58313775000000001</v>
      </c>
      <c r="S298" s="227">
        <v>1</v>
      </c>
      <c r="T298" s="227">
        <v>6579</v>
      </c>
      <c r="U298" s="227" t="s">
        <v>2385</v>
      </c>
    </row>
    <row r="299" spans="1:21" x14ac:dyDescent="0.25">
      <c r="A299" t="s">
        <v>2386</v>
      </c>
      <c r="B299">
        <v>19</v>
      </c>
      <c r="C299">
        <v>0.36880168000000002</v>
      </c>
      <c r="D299">
        <v>1.1798386999999999</v>
      </c>
      <c r="E299">
        <v>0.24652088</v>
      </c>
      <c r="F299">
        <v>0.58200204</v>
      </c>
      <c r="G299">
        <v>1</v>
      </c>
      <c r="H299">
        <v>3804</v>
      </c>
      <c r="I299" t="s">
        <v>2387</v>
      </c>
      <c r="M299" s="227" t="s">
        <v>2386</v>
      </c>
      <c r="N299" s="227">
        <v>19</v>
      </c>
      <c r="O299" s="227">
        <v>0.36880168000000002</v>
      </c>
      <c r="P299" s="227">
        <v>1.1798386999999999</v>
      </c>
      <c r="Q299" s="227">
        <v>0.24652088</v>
      </c>
      <c r="R299" s="227">
        <v>0.58200204</v>
      </c>
      <c r="S299" s="227">
        <v>1</v>
      </c>
      <c r="T299" s="227">
        <v>3804</v>
      </c>
      <c r="U299" s="227" t="s">
        <v>2387</v>
      </c>
    </row>
    <row r="300" spans="1:21" x14ac:dyDescent="0.25">
      <c r="A300" t="s">
        <v>2388</v>
      </c>
      <c r="B300">
        <v>29</v>
      </c>
      <c r="C300">
        <v>0.36890099999999998</v>
      </c>
      <c r="D300">
        <v>1.1795353</v>
      </c>
      <c r="E300">
        <v>0.25730994000000001</v>
      </c>
      <c r="F300">
        <v>0.58089349999999995</v>
      </c>
      <c r="G300">
        <v>1</v>
      </c>
      <c r="H300">
        <v>6603</v>
      </c>
      <c r="I300" t="s">
        <v>2389</v>
      </c>
      <c r="M300" s="227" t="s">
        <v>2388</v>
      </c>
      <c r="N300" s="227">
        <v>29</v>
      </c>
      <c r="O300" s="227">
        <v>0.36890099999999998</v>
      </c>
      <c r="P300" s="227">
        <v>1.1795353</v>
      </c>
      <c r="Q300" s="227">
        <v>0.25730994000000001</v>
      </c>
      <c r="R300" s="227">
        <v>0.58089349999999995</v>
      </c>
      <c r="S300" s="227">
        <v>1</v>
      </c>
      <c r="T300" s="227">
        <v>6603</v>
      </c>
      <c r="U300" s="227" t="s">
        <v>2389</v>
      </c>
    </row>
    <row r="301" spans="1:21" x14ac:dyDescent="0.25">
      <c r="A301" t="s">
        <v>2390</v>
      </c>
      <c r="B301">
        <v>80</v>
      </c>
      <c r="C301">
        <v>0.28650087000000002</v>
      </c>
      <c r="D301">
        <v>1.1776101999999999</v>
      </c>
      <c r="E301">
        <v>0.23880596000000001</v>
      </c>
      <c r="F301">
        <v>0.58312326999999997</v>
      </c>
      <c r="G301">
        <v>1</v>
      </c>
      <c r="H301">
        <v>4611</v>
      </c>
      <c r="I301" t="s">
        <v>2391</v>
      </c>
      <c r="M301" s="227" t="s">
        <v>2390</v>
      </c>
      <c r="N301" s="227">
        <v>80</v>
      </c>
      <c r="O301" s="227">
        <v>0.28650087000000002</v>
      </c>
      <c r="P301" s="227">
        <v>1.1776101999999999</v>
      </c>
      <c r="Q301" s="227">
        <v>0.23880596000000001</v>
      </c>
      <c r="R301" s="227">
        <v>0.58312326999999997</v>
      </c>
      <c r="S301" s="227">
        <v>1</v>
      </c>
      <c r="T301" s="227">
        <v>4611</v>
      </c>
      <c r="U301" s="227" t="s">
        <v>2391</v>
      </c>
    </row>
    <row r="302" spans="1:21" x14ac:dyDescent="0.25">
      <c r="A302" t="s">
        <v>2392</v>
      </c>
      <c r="B302">
        <v>40</v>
      </c>
      <c r="C302">
        <v>0.31578693000000002</v>
      </c>
      <c r="D302">
        <v>1.1754363999999999</v>
      </c>
      <c r="E302">
        <v>0.24376200000000001</v>
      </c>
      <c r="F302">
        <v>0.58621173999999998</v>
      </c>
      <c r="G302">
        <v>1</v>
      </c>
      <c r="H302">
        <v>4797</v>
      </c>
      <c r="I302" t="s">
        <v>2370</v>
      </c>
      <c r="M302" s="227" t="s">
        <v>2392</v>
      </c>
      <c r="N302" s="227">
        <v>40</v>
      </c>
      <c r="O302" s="227">
        <v>0.31578693000000002</v>
      </c>
      <c r="P302" s="227">
        <v>1.1754363999999999</v>
      </c>
      <c r="Q302" s="227">
        <v>0.24376200000000001</v>
      </c>
      <c r="R302" s="227">
        <v>0.58621173999999998</v>
      </c>
      <c r="S302" s="227">
        <v>1</v>
      </c>
      <c r="T302" s="227">
        <v>4797</v>
      </c>
      <c r="U302" s="227" t="s">
        <v>2370</v>
      </c>
    </row>
    <row r="303" spans="1:21" x14ac:dyDescent="0.25">
      <c r="A303" t="s">
        <v>2393</v>
      </c>
      <c r="B303">
        <v>51</v>
      </c>
      <c r="C303">
        <v>0.27764082000000001</v>
      </c>
      <c r="D303">
        <v>1.1753902000000001</v>
      </c>
      <c r="E303">
        <v>0.21914892999999999</v>
      </c>
      <c r="F303">
        <v>0.58435917000000004</v>
      </c>
      <c r="G303">
        <v>1</v>
      </c>
      <c r="H303">
        <v>3943</v>
      </c>
      <c r="I303" t="s">
        <v>2394</v>
      </c>
      <c r="M303" s="227" t="s">
        <v>2393</v>
      </c>
      <c r="N303" s="227">
        <v>51</v>
      </c>
      <c r="O303" s="227">
        <v>0.27764082000000001</v>
      </c>
      <c r="P303" s="227">
        <v>1.1753902000000001</v>
      </c>
      <c r="Q303" s="227">
        <v>0.21914892999999999</v>
      </c>
      <c r="R303" s="227">
        <v>0.58435917000000004</v>
      </c>
      <c r="S303" s="227">
        <v>1</v>
      </c>
      <c r="T303" s="227">
        <v>3943</v>
      </c>
      <c r="U303" s="227" t="s">
        <v>2394</v>
      </c>
    </row>
    <row r="304" spans="1:21" x14ac:dyDescent="0.25">
      <c r="A304" t="s">
        <v>2395</v>
      </c>
      <c r="B304">
        <v>32</v>
      </c>
      <c r="C304">
        <v>0.37583729999999999</v>
      </c>
      <c r="D304">
        <v>1.1744615</v>
      </c>
      <c r="E304">
        <v>0.25294119999999998</v>
      </c>
      <c r="F304">
        <v>0.58466375000000004</v>
      </c>
      <c r="G304">
        <v>1</v>
      </c>
      <c r="H304">
        <v>7438</v>
      </c>
      <c r="I304" t="s">
        <v>2396</v>
      </c>
      <c r="M304" s="227" t="s">
        <v>2395</v>
      </c>
      <c r="N304" s="227">
        <v>32</v>
      </c>
      <c r="O304" s="227">
        <v>0.37583729999999999</v>
      </c>
      <c r="P304" s="227">
        <v>1.1744615</v>
      </c>
      <c r="Q304" s="227">
        <v>0.25294119999999998</v>
      </c>
      <c r="R304" s="227">
        <v>0.58466375000000004</v>
      </c>
      <c r="S304" s="227">
        <v>1</v>
      </c>
      <c r="T304" s="227">
        <v>7438</v>
      </c>
      <c r="U304" s="227" t="s">
        <v>2396</v>
      </c>
    </row>
    <row r="305" spans="1:21" x14ac:dyDescent="0.25">
      <c r="A305" t="s">
        <v>2397</v>
      </c>
      <c r="B305">
        <v>159</v>
      </c>
      <c r="C305">
        <v>0.23244675000000001</v>
      </c>
      <c r="D305">
        <v>1.1725317</v>
      </c>
      <c r="E305">
        <v>0.15180266000000001</v>
      </c>
      <c r="F305">
        <v>0.58704659999999997</v>
      </c>
      <c r="G305">
        <v>1</v>
      </c>
      <c r="H305">
        <v>3326</v>
      </c>
      <c r="I305" t="s">
        <v>2339</v>
      </c>
      <c r="M305" s="227" t="s">
        <v>2397</v>
      </c>
      <c r="N305" s="227">
        <v>159</v>
      </c>
      <c r="O305" s="227">
        <v>0.23244675000000001</v>
      </c>
      <c r="P305" s="227">
        <v>1.1725317</v>
      </c>
      <c r="Q305" s="227">
        <v>0.15180266000000001</v>
      </c>
      <c r="R305" s="227">
        <v>0.58704659999999997</v>
      </c>
      <c r="S305" s="227">
        <v>1</v>
      </c>
      <c r="T305" s="227">
        <v>3326</v>
      </c>
      <c r="U305" s="227" t="s">
        <v>2339</v>
      </c>
    </row>
    <row r="306" spans="1:21" x14ac:dyDescent="0.25">
      <c r="A306" t="s">
        <v>2398</v>
      </c>
      <c r="B306">
        <v>35</v>
      </c>
      <c r="C306">
        <v>0.40570050000000002</v>
      </c>
      <c r="D306">
        <v>1.1725019000000001</v>
      </c>
      <c r="E306">
        <v>0.26401445000000001</v>
      </c>
      <c r="F306">
        <v>0.58517103999999998</v>
      </c>
      <c r="G306">
        <v>1</v>
      </c>
      <c r="H306">
        <v>6661</v>
      </c>
      <c r="I306" t="s">
        <v>2399</v>
      </c>
      <c r="M306" s="227" t="s">
        <v>2398</v>
      </c>
      <c r="N306" s="227">
        <v>35</v>
      </c>
      <c r="O306" s="227">
        <v>0.40570050000000002</v>
      </c>
      <c r="P306" s="227">
        <v>1.1725019000000001</v>
      </c>
      <c r="Q306" s="227">
        <v>0.26401445000000001</v>
      </c>
      <c r="R306" s="227">
        <v>0.58517103999999998</v>
      </c>
      <c r="S306" s="227">
        <v>1</v>
      </c>
      <c r="T306" s="227">
        <v>6661</v>
      </c>
      <c r="U306" s="227" t="s">
        <v>2399</v>
      </c>
    </row>
    <row r="307" spans="1:21" x14ac:dyDescent="0.25">
      <c r="A307" t="s">
        <v>2400</v>
      </c>
      <c r="B307">
        <v>17</v>
      </c>
      <c r="C307">
        <v>0.45498008000000001</v>
      </c>
      <c r="D307">
        <v>1.1721102000000001</v>
      </c>
      <c r="E307">
        <v>0.30308879999999999</v>
      </c>
      <c r="F307">
        <v>0.58419025000000002</v>
      </c>
      <c r="G307">
        <v>1</v>
      </c>
      <c r="H307">
        <v>7433</v>
      </c>
      <c r="I307" t="s">
        <v>2401</v>
      </c>
      <c r="M307" s="227" t="s">
        <v>2400</v>
      </c>
      <c r="N307" s="227">
        <v>17</v>
      </c>
      <c r="O307" s="227">
        <v>0.45498008000000001</v>
      </c>
      <c r="P307" s="227">
        <v>1.1721102000000001</v>
      </c>
      <c r="Q307" s="227">
        <v>0.30308879999999999</v>
      </c>
      <c r="R307" s="227">
        <v>0.58419025000000002</v>
      </c>
      <c r="S307" s="227">
        <v>1</v>
      </c>
      <c r="T307" s="227">
        <v>7433</v>
      </c>
      <c r="U307" s="227" t="s">
        <v>2401</v>
      </c>
    </row>
    <row r="308" spans="1:21" x14ac:dyDescent="0.25">
      <c r="A308" t="s">
        <v>2402</v>
      </c>
      <c r="B308">
        <v>19</v>
      </c>
      <c r="C308">
        <v>0.36710520000000002</v>
      </c>
      <c r="D308">
        <v>1.1714609</v>
      </c>
      <c r="E308">
        <v>0.25145070000000003</v>
      </c>
      <c r="F308">
        <v>0.58375480000000002</v>
      </c>
      <c r="G308">
        <v>1</v>
      </c>
      <c r="H308">
        <v>5741</v>
      </c>
      <c r="I308" t="s">
        <v>2403</v>
      </c>
      <c r="M308" s="227" t="s">
        <v>2402</v>
      </c>
      <c r="N308" s="227">
        <v>19</v>
      </c>
      <c r="O308" s="227">
        <v>0.36710520000000002</v>
      </c>
      <c r="P308" s="227">
        <v>1.1714609</v>
      </c>
      <c r="Q308" s="227">
        <v>0.25145070000000003</v>
      </c>
      <c r="R308" s="227">
        <v>0.58375480000000002</v>
      </c>
      <c r="S308" s="227">
        <v>1</v>
      </c>
      <c r="T308" s="227">
        <v>5741</v>
      </c>
      <c r="U308" s="227" t="s">
        <v>2403</v>
      </c>
    </row>
    <row r="309" spans="1:21" x14ac:dyDescent="0.25">
      <c r="A309" t="s">
        <v>2404</v>
      </c>
      <c r="B309">
        <v>19</v>
      </c>
      <c r="C309">
        <v>0.38858795000000002</v>
      </c>
      <c r="D309">
        <v>1.1679922</v>
      </c>
      <c r="E309">
        <v>0.29069766000000002</v>
      </c>
      <c r="F309">
        <v>0.58964589999999995</v>
      </c>
      <c r="G309">
        <v>1</v>
      </c>
      <c r="H309">
        <v>4579</v>
      </c>
      <c r="I309" t="s">
        <v>2405</v>
      </c>
      <c r="M309" s="227" t="s">
        <v>2404</v>
      </c>
      <c r="N309" s="227">
        <v>19</v>
      </c>
      <c r="O309" s="227">
        <v>0.38858795000000002</v>
      </c>
      <c r="P309" s="227">
        <v>1.1679922</v>
      </c>
      <c r="Q309" s="227">
        <v>0.29069766000000002</v>
      </c>
      <c r="R309" s="227">
        <v>0.58964589999999995</v>
      </c>
      <c r="S309" s="227">
        <v>1</v>
      </c>
      <c r="T309" s="227">
        <v>4579</v>
      </c>
      <c r="U309" s="227" t="s">
        <v>2405</v>
      </c>
    </row>
    <row r="310" spans="1:21" x14ac:dyDescent="0.25">
      <c r="A310" t="s">
        <v>2406</v>
      </c>
      <c r="B310">
        <v>34</v>
      </c>
      <c r="C310">
        <v>0.32541369999999997</v>
      </c>
      <c r="D310">
        <v>1.1657268999999999</v>
      </c>
      <c r="E310">
        <v>0.23732250999999999</v>
      </c>
      <c r="F310">
        <v>0.59272420000000003</v>
      </c>
      <c r="G310">
        <v>1</v>
      </c>
      <c r="H310">
        <v>6756</v>
      </c>
      <c r="I310" t="s">
        <v>2352</v>
      </c>
      <c r="M310" s="227" t="s">
        <v>2406</v>
      </c>
      <c r="N310" s="227">
        <v>34</v>
      </c>
      <c r="O310" s="227">
        <v>0.32541369999999997</v>
      </c>
      <c r="P310" s="227">
        <v>1.1657268999999999</v>
      </c>
      <c r="Q310" s="227">
        <v>0.23732250999999999</v>
      </c>
      <c r="R310" s="227">
        <v>0.59272420000000003</v>
      </c>
      <c r="S310" s="227">
        <v>1</v>
      </c>
      <c r="T310" s="227">
        <v>6756</v>
      </c>
      <c r="U310" s="227" t="s">
        <v>2352</v>
      </c>
    </row>
    <row r="311" spans="1:21" x14ac:dyDescent="0.25">
      <c r="A311" t="s">
        <v>2407</v>
      </c>
      <c r="B311">
        <v>17</v>
      </c>
      <c r="C311">
        <v>0.39650111999999998</v>
      </c>
      <c r="D311">
        <v>1.1650255</v>
      </c>
      <c r="E311">
        <v>0.26365349999999999</v>
      </c>
      <c r="F311">
        <v>0.59243480000000004</v>
      </c>
      <c r="G311">
        <v>1</v>
      </c>
      <c r="H311">
        <v>4659</v>
      </c>
      <c r="I311" t="s">
        <v>2367</v>
      </c>
      <c r="M311" s="227" t="s">
        <v>2407</v>
      </c>
      <c r="N311" s="227">
        <v>17</v>
      </c>
      <c r="O311" s="227">
        <v>0.39650111999999998</v>
      </c>
      <c r="P311" s="227">
        <v>1.1650255</v>
      </c>
      <c r="Q311" s="227">
        <v>0.26365349999999999</v>
      </c>
      <c r="R311" s="227">
        <v>0.59243480000000004</v>
      </c>
      <c r="S311" s="227">
        <v>1</v>
      </c>
      <c r="T311" s="227">
        <v>4659</v>
      </c>
      <c r="U311" s="227" t="s">
        <v>2367</v>
      </c>
    </row>
    <row r="312" spans="1:21" x14ac:dyDescent="0.25">
      <c r="A312" t="s">
        <v>2408</v>
      </c>
      <c r="B312">
        <v>34</v>
      </c>
      <c r="C312">
        <v>0.34591252</v>
      </c>
      <c r="D312">
        <v>1.1648923</v>
      </c>
      <c r="E312">
        <v>0.26369169999999997</v>
      </c>
      <c r="F312">
        <v>0.59080814999999998</v>
      </c>
      <c r="G312">
        <v>1</v>
      </c>
      <c r="H312">
        <v>4341</v>
      </c>
      <c r="I312" t="s">
        <v>2409</v>
      </c>
      <c r="M312" s="227" t="s">
        <v>2408</v>
      </c>
      <c r="N312" s="227">
        <v>34</v>
      </c>
      <c r="O312" s="227">
        <v>0.34591252</v>
      </c>
      <c r="P312" s="227">
        <v>1.1648923</v>
      </c>
      <c r="Q312" s="227">
        <v>0.26369169999999997</v>
      </c>
      <c r="R312" s="227">
        <v>0.59080814999999998</v>
      </c>
      <c r="S312" s="227">
        <v>1</v>
      </c>
      <c r="T312" s="227">
        <v>4341</v>
      </c>
      <c r="U312" s="227" t="s">
        <v>2409</v>
      </c>
    </row>
    <row r="313" spans="1:21" x14ac:dyDescent="0.25">
      <c r="A313" t="s">
        <v>2410</v>
      </c>
      <c r="B313">
        <v>39</v>
      </c>
      <c r="C313">
        <v>0.31952714999999998</v>
      </c>
      <c r="D313">
        <v>1.1623801</v>
      </c>
      <c r="E313">
        <v>0.23626374</v>
      </c>
      <c r="F313">
        <v>0.59468019999999999</v>
      </c>
      <c r="G313">
        <v>1</v>
      </c>
      <c r="H313">
        <v>5472</v>
      </c>
      <c r="I313" t="s">
        <v>2411</v>
      </c>
      <c r="M313" s="227" t="s">
        <v>2410</v>
      </c>
      <c r="N313" s="227">
        <v>39</v>
      </c>
      <c r="O313" s="227">
        <v>0.31952714999999998</v>
      </c>
      <c r="P313" s="227">
        <v>1.1623801</v>
      </c>
      <c r="Q313" s="227">
        <v>0.23626374</v>
      </c>
      <c r="R313" s="227">
        <v>0.59468019999999999</v>
      </c>
      <c r="S313" s="227">
        <v>1</v>
      </c>
      <c r="T313" s="227">
        <v>5472</v>
      </c>
      <c r="U313" s="227" t="s">
        <v>2411</v>
      </c>
    </row>
    <row r="314" spans="1:21" x14ac:dyDescent="0.25">
      <c r="A314" t="s">
        <v>2412</v>
      </c>
      <c r="B314">
        <v>49</v>
      </c>
      <c r="C314">
        <v>0.37960993999999998</v>
      </c>
      <c r="D314">
        <v>1.1612555</v>
      </c>
      <c r="E314">
        <v>0.30961537</v>
      </c>
      <c r="F314">
        <v>0.59520406000000003</v>
      </c>
      <c r="G314">
        <v>1</v>
      </c>
      <c r="H314">
        <v>3324</v>
      </c>
      <c r="I314" t="s">
        <v>2233</v>
      </c>
      <c r="M314" s="227" t="s">
        <v>2412</v>
      </c>
      <c r="N314" s="227">
        <v>49</v>
      </c>
      <c r="O314" s="227">
        <v>0.37960993999999998</v>
      </c>
      <c r="P314" s="227">
        <v>1.1612555</v>
      </c>
      <c r="Q314" s="227">
        <v>0.30961537</v>
      </c>
      <c r="R314" s="227">
        <v>0.59520406000000003</v>
      </c>
      <c r="S314" s="227">
        <v>1</v>
      </c>
      <c r="T314" s="227">
        <v>3324</v>
      </c>
      <c r="U314" s="227" t="s">
        <v>2233</v>
      </c>
    </row>
    <row r="315" spans="1:21" x14ac:dyDescent="0.25">
      <c r="A315" t="s">
        <v>2413</v>
      </c>
      <c r="B315">
        <v>122</v>
      </c>
      <c r="C315">
        <v>0.27222770000000002</v>
      </c>
      <c r="D315">
        <v>1.1596390000000001</v>
      </c>
      <c r="E315">
        <v>0.24254472999999999</v>
      </c>
      <c r="F315">
        <v>0.59670263999999995</v>
      </c>
      <c r="G315">
        <v>1</v>
      </c>
      <c r="H315">
        <v>4099</v>
      </c>
      <c r="I315" t="s">
        <v>2414</v>
      </c>
      <c r="M315" s="227" t="s">
        <v>2413</v>
      </c>
      <c r="N315" s="227">
        <v>122</v>
      </c>
      <c r="O315" s="227">
        <v>0.27222770000000002</v>
      </c>
      <c r="P315" s="227">
        <v>1.1596390000000001</v>
      </c>
      <c r="Q315" s="227">
        <v>0.24254472999999999</v>
      </c>
      <c r="R315" s="227">
        <v>0.59670263999999995</v>
      </c>
      <c r="S315" s="227">
        <v>1</v>
      </c>
      <c r="T315" s="227">
        <v>4099</v>
      </c>
      <c r="U315" s="227" t="s">
        <v>2414</v>
      </c>
    </row>
    <row r="316" spans="1:21" x14ac:dyDescent="0.25">
      <c r="A316" t="s">
        <v>2415</v>
      </c>
      <c r="B316">
        <v>128</v>
      </c>
      <c r="C316">
        <v>0.31392700000000001</v>
      </c>
      <c r="D316">
        <v>1.1585637</v>
      </c>
      <c r="E316">
        <v>0.27919706999999999</v>
      </c>
      <c r="F316">
        <v>0.59728110000000001</v>
      </c>
      <c r="G316">
        <v>1</v>
      </c>
      <c r="H316">
        <v>4274</v>
      </c>
      <c r="I316" t="s">
        <v>2416</v>
      </c>
      <c r="M316" s="227" t="s">
        <v>2415</v>
      </c>
      <c r="N316" s="227">
        <v>128</v>
      </c>
      <c r="O316" s="227">
        <v>0.31392700000000001</v>
      </c>
      <c r="P316" s="227">
        <v>1.1585637</v>
      </c>
      <c r="Q316" s="227">
        <v>0.27919706999999999</v>
      </c>
      <c r="R316" s="227">
        <v>0.59728110000000001</v>
      </c>
      <c r="S316" s="227">
        <v>1</v>
      </c>
      <c r="T316" s="227">
        <v>4274</v>
      </c>
      <c r="U316" s="227" t="s">
        <v>2416</v>
      </c>
    </row>
    <row r="317" spans="1:21" x14ac:dyDescent="0.25">
      <c r="A317" t="s">
        <v>2417</v>
      </c>
      <c r="B317">
        <v>70</v>
      </c>
      <c r="C317">
        <v>0.42181200000000002</v>
      </c>
      <c r="D317">
        <v>1.1578619999999999</v>
      </c>
      <c r="E317">
        <v>0.26736110000000002</v>
      </c>
      <c r="F317">
        <v>0.59686740000000005</v>
      </c>
      <c r="G317">
        <v>1</v>
      </c>
      <c r="H317">
        <v>5288</v>
      </c>
      <c r="I317" t="s">
        <v>2418</v>
      </c>
      <c r="M317" s="227" t="s">
        <v>2417</v>
      </c>
      <c r="N317" s="227">
        <v>70</v>
      </c>
      <c r="O317" s="227">
        <v>0.42181200000000002</v>
      </c>
      <c r="P317" s="227">
        <v>1.1578619999999999</v>
      </c>
      <c r="Q317" s="227">
        <v>0.26736110000000002</v>
      </c>
      <c r="R317" s="227">
        <v>0.59686740000000005</v>
      </c>
      <c r="S317" s="227">
        <v>1</v>
      </c>
      <c r="T317" s="227">
        <v>5288</v>
      </c>
      <c r="U317" s="227" t="s">
        <v>2418</v>
      </c>
    </row>
    <row r="318" spans="1:21" x14ac:dyDescent="0.25">
      <c r="A318" t="s">
        <v>2419</v>
      </c>
      <c r="B318">
        <v>285</v>
      </c>
      <c r="C318">
        <v>0.26189502999999997</v>
      </c>
      <c r="D318">
        <v>1.1572464</v>
      </c>
      <c r="E318">
        <v>0.21359222999999999</v>
      </c>
      <c r="F318">
        <v>0.59634109999999996</v>
      </c>
      <c r="G318">
        <v>1</v>
      </c>
      <c r="H318">
        <v>6418</v>
      </c>
      <c r="I318" t="s">
        <v>2420</v>
      </c>
      <c r="M318" s="227" t="s">
        <v>2419</v>
      </c>
      <c r="N318" s="227">
        <v>285</v>
      </c>
      <c r="O318" s="227">
        <v>0.26189502999999997</v>
      </c>
      <c r="P318" s="227">
        <v>1.1572464</v>
      </c>
      <c r="Q318" s="227">
        <v>0.21359222999999999</v>
      </c>
      <c r="R318" s="227">
        <v>0.59634109999999996</v>
      </c>
      <c r="S318" s="227">
        <v>1</v>
      </c>
      <c r="T318" s="227">
        <v>6418</v>
      </c>
      <c r="U318" s="227" t="s">
        <v>2420</v>
      </c>
    </row>
    <row r="319" spans="1:21" x14ac:dyDescent="0.25">
      <c r="A319" t="s">
        <v>2421</v>
      </c>
      <c r="B319">
        <v>63</v>
      </c>
      <c r="C319">
        <v>0.42934313000000002</v>
      </c>
      <c r="D319">
        <v>1.1565713</v>
      </c>
      <c r="E319">
        <v>0.28849556999999998</v>
      </c>
      <c r="F319">
        <v>0.59596380000000004</v>
      </c>
      <c r="G319">
        <v>1</v>
      </c>
      <c r="H319">
        <v>6378</v>
      </c>
      <c r="I319" t="s">
        <v>2422</v>
      </c>
      <c r="M319" s="227" t="s">
        <v>2421</v>
      </c>
      <c r="N319" s="227">
        <v>63</v>
      </c>
      <c r="O319" s="227">
        <v>0.42934313000000002</v>
      </c>
      <c r="P319" s="227">
        <v>1.1565713</v>
      </c>
      <c r="Q319" s="227">
        <v>0.28849556999999998</v>
      </c>
      <c r="R319" s="227">
        <v>0.59596380000000004</v>
      </c>
      <c r="S319" s="227">
        <v>1</v>
      </c>
      <c r="T319" s="227">
        <v>6378</v>
      </c>
      <c r="U319" s="227" t="s">
        <v>2422</v>
      </c>
    </row>
    <row r="320" spans="1:21" x14ac:dyDescent="0.25">
      <c r="A320" t="s">
        <v>2423</v>
      </c>
      <c r="B320">
        <v>24</v>
      </c>
      <c r="C320">
        <v>0.38567603</v>
      </c>
      <c r="D320">
        <v>1.1556171</v>
      </c>
      <c r="E320">
        <v>0.28163265999999998</v>
      </c>
      <c r="F320">
        <v>0.59610030000000003</v>
      </c>
      <c r="G320">
        <v>1</v>
      </c>
      <c r="H320">
        <v>4568</v>
      </c>
      <c r="I320" t="s">
        <v>2424</v>
      </c>
      <c r="M320" s="227" t="s">
        <v>2423</v>
      </c>
      <c r="N320" s="227">
        <v>24</v>
      </c>
      <c r="O320" s="227">
        <v>0.38567603</v>
      </c>
      <c r="P320" s="227">
        <v>1.1556171</v>
      </c>
      <c r="Q320" s="227">
        <v>0.28163265999999998</v>
      </c>
      <c r="R320" s="227">
        <v>0.59610030000000003</v>
      </c>
      <c r="S320" s="227">
        <v>1</v>
      </c>
      <c r="T320" s="227">
        <v>4568</v>
      </c>
      <c r="U320" s="227" t="s">
        <v>2424</v>
      </c>
    </row>
    <row r="321" spans="1:21" x14ac:dyDescent="0.25">
      <c r="A321" t="s">
        <v>2425</v>
      </c>
      <c r="B321">
        <v>93</v>
      </c>
      <c r="C321">
        <v>0.30308200000000002</v>
      </c>
      <c r="D321">
        <v>1.1542683</v>
      </c>
      <c r="E321">
        <v>0.25096523999999998</v>
      </c>
      <c r="F321">
        <v>0.59742916000000001</v>
      </c>
      <c r="G321">
        <v>1</v>
      </c>
      <c r="H321">
        <v>6620</v>
      </c>
      <c r="I321" t="s">
        <v>2426</v>
      </c>
      <c r="M321" s="227" t="s">
        <v>2425</v>
      </c>
      <c r="N321" s="227">
        <v>93</v>
      </c>
      <c r="O321" s="227">
        <v>0.30308200000000002</v>
      </c>
      <c r="P321" s="227">
        <v>1.1542683</v>
      </c>
      <c r="Q321" s="227">
        <v>0.25096523999999998</v>
      </c>
      <c r="R321" s="227">
        <v>0.59742916000000001</v>
      </c>
      <c r="S321" s="227">
        <v>1</v>
      </c>
      <c r="T321" s="227">
        <v>6620</v>
      </c>
      <c r="U321" s="227" t="s">
        <v>2426</v>
      </c>
    </row>
    <row r="322" spans="1:21" x14ac:dyDescent="0.25">
      <c r="A322" t="s">
        <v>2427</v>
      </c>
      <c r="B322">
        <v>40</v>
      </c>
      <c r="C322">
        <v>0.30823426999999998</v>
      </c>
      <c r="D322">
        <v>1.1516656999999999</v>
      </c>
      <c r="E322">
        <v>0.25514403000000002</v>
      </c>
      <c r="F322">
        <v>0.60133429999999999</v>
      </c>
      <c r="G322">
        <v>1</v>
      </c>
      <c r="H322">
        <v>4360</v>
      </c>
      <c r="I322" t="s">
        <v>2428</v>
      </c>
      <c r="M322" s="227" t="s">
        <v>2427</v>
      </c>
      <c r="N322" s="227">
        <v>40</v>
      </c>
      <c r="O322" s="227">
        <v>0.30823426999999998</v>
      </c>
      <c r="P322" s="227">
        <v>1.1516656999999999</v>
      </c>
      <c r="Q322" s="227">
        <v>0.25514403000000002</v>
      </c>
      <c r="R322" s="227">
        <v>0.60133429999999999</v>
      </c>
      <c r="S322" s="227">
        <v>1</v>
      </c>
      <c r="T322" s="227">
        <v>4360</v>
      </c>
      <c r="U322" s="227" t="s">
        <v>2428</v>
      </c>
    </row>
    <row r="323" spans="1:21" x14ac:dyDescent="0.25">
      <c r="A323" t="s">
        <v>2429</v>
      </c>
      <c r="B323">
        <v>52</v>
      </c>
      <c r="C323">
        <v>0.27638953999999999</v>
      </c>
      <c r="D323">
        <v>1.1496504999999999</v>
      </c>
      <c r="E323">
        <v>0.25341130000000001</v>
      </c>
      <c r="F323">
        <v>0.60393965000000005</v>
      </c>
      <c r="G323">
        <v>1</v>
      </c>
      <c r="H323">
        <v>6192</v>
      </c>
      <c r="I323" t="s">
        <v>2430</v>
      </c>
      <c r="M323" s="227" t="s">
        <v>2429</v>
      </c>
      <c r="N323" s="227">
        <v>52</v>
      </c>
      <c r="O323" s="227">
        <v>0.27638953999999999</v>
      </c>
      <c r="P323" s="227">
        <v>1.1496504999999999</v>
      </c>
      <c r="Q323" s="227">
        <v>0.25341130000000001</v>
      </c>
      <c r="R323" s="227">
        <v>0.60393965000000005</v>
      </c>
      <c r="S323" s="227">
        <v>1</v>
      </c>
      <c r="T323" s="227">
        <v>6192</v>
      </c>
      <c r="U323" s="227" t="s">
        <v>2430</v>
      </c>
    </row>
    <row r="324" spans="1:21" x14ac:dyDescent="0.25">
      <c r="A324" t="s">
        <v>2431</v>
      </c>
      <c r="B324">
        <v>52</v>
      </c>
      <c r="C324">
        <v>0.27382024999999999</v>
      </c>
      <c r="D324">
        <v>1.1482927999999999</v>
      </c>
      <c r="E324">
        <v>0.24</v>
      </c>
      <c r="F324">
        <v>0.60505509999999996</v>
      </c>
      <c r="G324">
        <v>1</v>
      </c>
      <c r="H324">
        <v>3943</v>
      </c>
      <c r="I324" t="s">
        <v>2432</v>
      </c>
      <c r="M324" s="227" t="s">
        <v>2431</v>
      </c>
      <c r="N324" s="227">
        <v>52</v>
      </c>
      <c r="O324" s="227">
        <v>0.27382024999999999</v>
      </c>
      <c r="P324" s="227">
        <v>1.1482927999999999</v>
      </c>
      <c r="Q324" s="227">
        <v>0.24</v>
      </c>
      <c r="R324" s="227">
        <v>0.60505509999999996</v>
      </c>
      <c r="S324" s="227">
        <v>1</v>
      </c>
      <c r="T324" s="227">
        <v>3943</v>
      </c>
      <c r="U324" s="227" t="s">
        <v>2432</v>
      </c>
    </row>
    <row r="325" spans="1:21" x14ac:dyDescent="0.25">
      <c r="A325" t="s">
        <v>2433</v>
      </c>
      <c r="B325">
        <v>102</v>
      </c>
      <c r="C325">
        <v>0.31008783000000001</v>
      </c>
      <c r="D325">
        <v>1.1475120999999999</v>
      </c>
      <c r="E325">
        <v>0.26277371999999999</v>
      </c>
      <c r="F325">
        <v>0.60503209999999996</v>
      </c>
      <c r="G325">
        <v>1</v>
      </c>
      <c r="H325">
        <v>5473</v>
      </c>
      <c r="I325" t="s">
        <v>2411</v>
      </c>
      <c r="M325" s="227" t="s">
        <v>2433</v>
      </c>
      <c r="N325" s="227">
        <v>102</v>
      </c>
      <c r="O325" s="227">
        <v>0.31008783000000001</v>
      </c>
      <c r="P325" s="227">
        <v>1.1475120999999999</v>
      </c>
      <c r="Q325" s="227">
        <v>0.26277371999999999</v>
      </c>
      <c r="R325" s="227">
        <v>0.60503209999999996</v>
      </c>
      <c r="S325" s="227">
        <v>1</v>
      </c>
      <c r="T325" s="227">
        <v>5473</v>
      </c>
      <c r="U325" s="227" t="s">
        <v>2411</v>
      </c>
    </row>
    <row r="326" spans="1:21" x14ac:dyDescent="0.25">
      <c r="A326" t="s">
        <v>2434</v>
      </c>
      <c r="B326">
        <v>121</v>
      </c>
      <c r="C326">
        <v>0.33446937999999998</v>
      </c>
      <c r="D326">
        <v>1.1465483000000001</v>
      </c>
      <c r="E326">
        <v>0.29304029999999998</v>
      </c>
      <c r="F326">
        <v>0.60540700000000003</v>
      </c>
      <c r="G326">
        <v>1</v>
      </c>
      <c r="H326">
        <v>6219</v>
      </c>
      <c r="I326" t="s">
        <v>2435</v>
      </c>
      <c r="M326" s="227" t="s">
        <v>2434</v>
      </c>
      <c r="N326" s="227">
        <v>121</v>
      </c>
      <c r="O326" s="227">
        <v>0.33446937999999998</v>
      </c>
      <c r="P326" s="227">
        <v>1.1465483000000001</v>
      </c>
      <c r="Q326" s="227">
        <v>0.29304029999999998</v>
      </c>
      <c r="R326" s="227">
        <v>0.60540700000000003</v>
      </c>
      <c r="S326" s="227">
        <v>1</v>
      </c>
      <c r="T326" s="227">
        <v>6219</v>
      </c>
      <c r="U326" s="227" t="s">
        <v>2435</v>
      </c>
    </row>
    <row r="327" spans="1:21" x14ac:dyDescent="0.25">
      <c r="A327" t="s">
        <v>2436</v>
      </c>
      <c r="B327">
        <v>51</v>
      </c>
      <c r="C327">
        <v>0.32588192999999999</v>
      </c>
      <c r="D327">
        <v>1.1452422</v>
      </c>
      <c r="E327">
        <v>0.25670500000000002</v>
      </c>
      <c r="F327">
        <v>0.60660815000000001</v>
      </c>
      <c r="G327">
        <v>1</v>
      </c>
      <c r="H327">
        <v>6141</v>
      </c>
      <c r="I327" t="s">
        <v>2437</v>
      </c>
      <c r="M327" s="227" t="s">
        <v>2436</v>
      </c>
      <c r="N327" s="227">
        <v>51</v>
      </c>
      <c r="O327" s="227">
        <v>0.32588192999999999</v>
      </c>
      <c r="P327" s="227">
        <v>1.1452422</v>
      </c>
      <c r="Q327" s="227">
        <v>0.25670500000000002</v>
      </c>
      <c r="R327" s="227">
        <v>0.60660815000000001</v>
      </c>
      <c r="S327" s="227">
        <v>1</v>
      </c>
      <c r="T327" s="227">
        <v>6141</v>
      </c>
      <c r="U327" s="227" t="s">
        <v>2437</v>
      </c>
    </row>
    <row r="328" spans="1:21" x14ac:dyDescent="0.25">
      <c r="A328" t="s">
        <v>2438</v>
      </c>
      <c r="B328">
        <v>27</v>
      </c>
      <c r="C328">
        <v>0.35021257</v>
      </c>
      <c r="D328">
        <v>1.1434987000000001</v>
      </c>
      <c r="E328">
        <v>0.2895238</v>
      </c>
      <c r="F328">
        <v>0.60887283000000003</v>
      </c>
      <c r="G328">
        <v>1</v>
      </c>
      <c r="H328">
        <v>4796</v>
      </c>
      <c r="I328" t="s">
        <v>2359</v>
      </c>
      <c r="M328" s="227" t="s">
        <v>2438</v>
      </c>
      <c r="N328" s="227">
        <v>27</v>
      </c>
      <c r="O328" s="227">
        <v>0.35021257</v>
      </c>
      <c r="P328" s="227">
        <v>1.1434987000000001</v>
      </c>
      <c r="Q328" s="227">
        <v>0.2895238</v>
      </c>
      <c r="R328" s="227">
        <v>0.60887283000000003</v>
      </c>
      <c r="S328" s="227">
        <v>1</v>
      </c>
      <c r="T328" s="227">
        <v>4796</v>
      </c>
      <c r="U328" s="227" t="s">
        <v>2359</v>
      </c>
    </row>
    <row r="329" spans="1:21" x14ac:dyDescent="0.25">
      <c r="A329" t="s">
        <v>2439</v>
      </c>
      <c r="B329">
        <v>21</v>
      </c>
      <c r="C329">
        <v>0.38152570000000002</v>
      </c>
      <c r="D329">
        <v>1.1433538000000001</v>
      </c>
      <c r="E329">
        <v>0.29521829999999999</v>
      </c>
      <c r="F329">
        <v>0.60732912999999999</v>
      </c>
      <c r="G329">
        <v>1</v>
      </c>
      <c r="H329">
        <v>5785</v>
      </c>
      <c r="I329" t="s">
        <v>2440</v>
      </c>
      <c r="M329" s="227" t="s">
        <v>2439</v>
      </c>
      <c r="N329" s="227">
        <v>21</v>
      </c>
      <c r="O329" s="227">
        <v>0.38152570000000002</v>
      </c>
      <c r="P329" s="227">
        <v>1.1433538000000001</v>
      </c>
      <c r="Q329" s="227">
        <v>0.29521829999999999</v>
      </c>
      <c r="R329" s="227">
        <v>0.60732912999999999</v>
      </c>
      <c r="S329" s="227">
        <v>1</v>
      </c>
      <c r="T329" s="227">
        <v>5785</v>
      </c>
      <c r="U329" s="227" t="s">
        <v>2440</v>
      </c>
    </row>
    <row r="330" spans="1:21" x14ac:dyDescent="0.25">
      <c r="A330" t="s">
        <v>2441</v>
      </c>
      <c r="B330">
        <v>59</v>
      </c>
      <c r="C330">
        <v>0.37446937000000002</v>
      </c>
      <c r="D330">
        <v>1.1431947</v>
      </c>
      <c r="E330">
        <v>0.31729054000000001</v>
      </c>
      <c r="F330">
        <v>0.60590476000000004</v>
      </c>
      <c r="G330">
        <v>1</v>
      </c>
      <c r="H330">
        <v>5428</v>
      </c>
      <c r="I330" t="s">
        <v>2371</v>
      </c>
      <c r="M330" s="227" t="s">
        <v>2441</v>
      </c>
      <c r="N330" s="227">
        <v>59</v>
      </c>
      <c r="O330" s="227">
        <v>0.37446937000000002</v>
      </c>
      <c r="P330" s="227">
        <v>1.1431947</v>
      </c>
      <c r="Q330" s="227">
        <v>0.31729054000000001</v>
      </c>
      <c r="R330" s="227">
        <v>0.60590476000000004</v>
      </c>
      <c r="S330" s="227">
        <v>1</v>
      </c>
      <c r="T330" s="227">
        <v>5428</v>
      </c>
      <c r="U330" s="227" t="s">
        <v>2371</v>
      </c>
    </row>
    <row r="331" spans="1:21" x14ac:dyDescent="0.25">
      <c r="A331" t="s">
        <v>2442</v>
      </c>
      <c r="B331">
        <v>56</v>
      </c>
      <c r="C331">
        <v>0.29399599999999998</v>
      </c>
      <c r="D331">
        <v>1.1382969999999999</v>
      </c>
      <c r="E331">
        <v>0.26806083000000003</v>
      </c>
      <c r="F331">
        <v>0.61562879999999998</v>
      </c>
      <c r="G331">
        <v>1</v>
      </c>
      <c r="H331">
        <v>3378</v>
      </c>
      <c r="I331" t="s">
        <v>2366</v>
      </c>
      <c r="M331" s="227" t="s">
        <v>2442</v>
      </c>
      <c r="N331" s="227">
        <v>56</v>
      </c>
      <c r="O331" s="227">
        <v>0.29399599999999998</v>
      </c>
      <c r="P331" s="227">
        <v>1.1382969999999999</v>
      </c>
      <c r="Q331" s="227">
        <v>0.26806083000000003</v>
      </c>
      <c r="R331" s="227">
        <v>0.61562879999999998</v>
      </c>
      <c r="S331" s="227">
        <v>1</v>
      </c>
      <c r="T331" s="227">
        <v>3378</v>
      </c>
      <c r="U331" s="227" t="s">
        <v>2366</v>
      </c>
    </row>
    <row r="332" spans="1:21" x14ac:dyDescent="0.25">
      <c r="A332" t="s">
        <v>2443</v>
      </c>
      <c r="B332">
        <v>92</v>
      </c>
      <c r="C332">
        <v>0.30477902000000001</v>
      </c>
      <c r="D332">
        <v>1.136531</v>
      </c>
      <c r="E332">
        <v>0.29678640000000001</v>
      </c>
      <c r="F332">
        <v>0.61778520000000003</v>
      </c>
      <c r="G332">
        <v>1</v>
      </c>
      <c r="H332">
        <v>7579</v>
      </c>
      <c r="I332" t="s">
        <v>2444</v>
      </c>
      <c r="M332" s="227" t="s">
        <v>2443</v>
      </c>
      <c r="N332" s="227">
        <v>92</v>
      </c>
      <c r="O332" s="227">
        <v>0.30477902000000001</v>
      </c>
      <c r="P332" s="227">
        <v>1.136531</v>
      </c>
      <c r="Q332" s="227">
        <v>0.29678640000000001</v>
      </c>
      <c r="R332" s="227">
        <v>0.61778520000000003</v>
      </c>
      <c r="S332" s="227">
        <v>1</v>
      </c>
      <c r="T332" s="227">
        <v>7579</v>
      </c>
      <c r="U332" s="227" t="s">
        <v>2444</v>
      </c>
    </row>
    <row r="333" spans="1:21" x14ac:dyDescent="0.25">
      <c r="A333" t="s">
        <v>2445</v>
      </c>
      <c r="B333">
        <v>265</v>
      </c>
      <c r="C333">
        <v>0.26976719999999998</v>
      </c>
      <c r="D333">
        <v>1.1352825</v>
      </c>
      <c r="E333">
        <v>0.26666667999999999</v>
      </c>
      <c r="F333">
        <v>0.6187764</v>
      </c>
      <c r="G333">
        <v>1</v>
      </c>
      <c r="H333">
        <v>4723</v>
      </c>
      <c r="I333" t="s">
        <v>2446</v>
      </c>
      <c r="M333" s="227" t="s">
        <v>2445</v>
      </c>
      <c r="N333" s="227">
        <v>265</v>
      </c>
      <c r="O333" s="227">
        <v>0.26976719999999998</v>
      </c>
      <c r="P333" s="227">
        <v>1.1352825</v>
      </c>
      <c r="Q333" s="227">
        <v>0.26666667999999999</v>
      </c>
      <c r="R333" s="227">
        <v>0.6187764</v>
      </c>
      <c r="S333" s="227">
        <v>1</v>
      </c>
      <c r="T333" s="227">
        <v>4723</v>
      </c>
      <c r="U333" s="227" t="s">
        <v>2446</v>
      </c>
    </row>
    <row r="334" spans="1:21" x14ac:dyDescent="0.25">
      <c r="A334" t="s">
        <v>2447</v>
      </c>
      <c r="B334">
        <v>47</v>
      </c>
      <c r="C334">
        <v>0.29143414000000001</v>
      </c>
      <c r="D334">
        <v>1.1350241000000001</v>
      </c>
      <c r="E334">
        <v>0.28543308000000001</v>
      </c>
      <c r="F334">
        <v>0.61749034999999997</v>
      </c>
      <c r="G334">
        <v>1</v>
      </c>
      <c r="H334">
        <v>3698</v>
      </c>
      <c r="I334" t="s">
        <v>2448</v>
      </c>
      <c r="M334" s="227" t="s">
        <v>2447</v>
      </c>
      <c r="N334" s="227">
        <v>47</v>
      </c>
      <c r="O334" s="227">
        <v>0.29143414000000001</v>
      </c>
      <c r="P334" s="227">
        <v>1.1350241000000001</v>
      </c>
      <c r="Q334" s="227">
        <v>0.28543308000000001</v>
      </c>
      <c r="R334" s="227">
        <v>0.61749034999999997</v>
      </c>
      <c r="S334" s="227">
        <v>1</v>
      </c>
      <c r="T334" s="227">
        <v>3698</v>
      </c>
      <c r="U334" s="227" t="s">
        <v>2448</v>
      </c>
    </row>
    <row r="335" spans="1:21" x14ac:dyDescent="0.25">
      <c r="A335" t="s">
        <v>2449</v>
      </c>
      <c r="B335">
        <v>31</v>
      </c>
      <c r="C335">
        <v>0.34051386</v>
      </c>
      <c r="D335">
        <v>1.1329317000000001</v>
      </c>
      <c r="E335">
        <v>0.27713179999999998</v>
      </c>
      <c r="F335">
        <v>0.62034999999999996</v>
      </c>
      <c r="G335">
        <v>1</v>
      </c>
      <c r="H335">
        <v>5380</v>
      </c>
      <c r="I335" t="s">
        <v>2450</v>
      </c>
      <c r="M335" s="227" t="s">
        <v>2449</v>
      </c>
      <c r="N335" s="227">
        <v>31</v>
      </c>
      <c r="O335" s="227">
        <v>0.34051386</v>
      </c>
      <c r="P335" s="227">
        <v>1.1329317000000001</v>
      </c>
      <c r="Q335" s="227">
        <v>0.27713179999999998</v>
      </c>
      <c r="R335" s="227">
        <v>0.62034999999999996</v>
      </c>
      <c r="S335" s="227">
        <v>1</v>
      </c>
      <c r="T335" s="227">
        <v>5380</v>
      </c>
      <c r="U335" s="227" t="s">
        <v>2450</v>
      </c>
    </row>
    <row r="336" spans="1:21" x14ac:dyDescent="0.25">
      <c r="A336" t="s">
        <v>2451</v>
      </c>
      <c r="B336">
        <v>89</v>
      </c>
      <c r="C336">
        <v>0.24775319000000001</v>
      </c>
      <c r="D336">
        <v>1.1309134000000001</v>
      </c>
      <c r="E336">
        <v>0.24703558</v>
      </c>
      <c r="F336">
        <v>0.62335499999999999</v>
      </c>
      <c r="G336">
        <v>1</v>
      </c>
      <c r="H336">
        <v>2616</v>
      </c>
      <c r="I336" t="s">
        <v>2283</v>
      </c>
      <c r="M336" s="227" t="s">
        <v>2451</v>
      </c>
      <c r="N336" s="227">
        <v>89</v>
      </c>
      <c r="O336" s="227">
        <v>0.24775319000000001</v>
      </c>
      <c r="P336" s="227">
        <v>1.1309134000000001</v>
      </c>
      <c r="Q336" s="227">
        <v>0.24703558</v>
      </c>
      <c r="R336" s="227">
        <v>0.62335499999999999</v>
      </c>
      <c r="S336" s="227">
        <v>1</v>
      </c>
      <c r="T336" s="227">
        <v>2616</v>
      </c>
      <c r="U336" s="227" t="s">
        <v>2283</v>
      </c>
    </row>
    <row r="337" spans="1:21" x14ac:dyDescent="0.25">
      <c r="A337" t="s">
        <v>2452</v>
      </c>
      <c r="B337">
        <v>82</v>
      </c>
      <c r="C337">
        <v>0.29569699999999999</v>
      </c>
      <c r="D337">
        <v>1.1307887999999999</v>
      </c>
      <c r="E337">
        <v>0.28278688000000002</v>
      </c>
      <c r="F337">
        <v>0.62183034000000004</v>
      </c>
      <c r="G337">
        <v>1</v>
      </c>
      <c r="H337">
        <v>8037</v>
      </c>
      <c r="I337" t="s">
        <v>2453</v>
      </c>
      <c r="M337" s="227" t="s">
        <v>2452</v>
      </c>
      <c r="N337" s="227">
        <v>82</v>
      </c>
      <c r="O337" s="227">
        <v>0.29569699999999999</v>
      </c>
      <c r="P337" s="227">
        <v>1.1307887999999999</v>
      </c>
      <c r="Q337" s="227">
        <v>0.28278688000000002</v>
      </c>
      <c r="R337" s="227">
        <v>0.62183034000000004</v>
      </c>
      <c r="S337" s="227">
        <v>1</v>
      </c>
      <c r="T337" s="227">
        <v>8037</v>
      </c>
      <c r="U337" s="227" t="s">
        <v>2453</v>
      </c>
    </row>
    <row r="338" spans="1:21" x14ac:dyDescent="0.25">
      <c r="A338" t="s">
        <v>2454</v>
      </c>
      <c r="B338">
        <v>62</v>
      </c>
      <c r="C338">
        <v>0.30088112</v>
      </c>
      <c r="D338">
        <v>1.1287488999999999</v>
      </c>
      <c r="E338">
        <v>0.32200000000000001</v>
      </c>
      <c r="F338">
        <v>0.62438059999999995</v>
      </c>
      <c r="G338">
        <v>1</v>
      </c>
      <c r="H338">
        <v>5643</v>
      </c>
      <c r="I338" t="s">
        <v>2349</v>
      </c>
      <c r="M338" s="227" t="s">
        <v>2454</v>
      </c>
      <c r="N338" s="227">
        <v>62</v>
      </c>
      <c r="O338" s="227">
        <v>0.30088112</v>
      </c>
      <c r="P338" s="227">
        <v>1.1287488999999999</v>
      </c>
      <c r="Q338" s="227">
        <v>0.32200000000000001</v>
      </c>
      <c r="R338" s="227">
        <v>0.62438059999999995</v>
      </c>
      <c r="S338" s="227">
        <v>1</v>
      </c>
      <c r="T338" s="227">
        <v>5643</v>
      </c>
      <c r="U338" s="227" t="s">
        <v>2349</v>
      </c>
    </row>
    <row r="339" spans="1:21" x14ac:dyDescent="0.25">
      <c r="A339" t="s">
        <v>2455</v>
      </c>
      <c r="B339">
        <v>24</v>
      </c>
      <c r="C339">
        <v>0.32510699999999998</v>
      </c>
      <c r="D339">
        <v>1.1277059</v>
      </c>
      <c r="E339">
        <v>0.28680687999999999</v>
      </c>
      <c r="F339">
        <v>0.62497574</v>
      </c>
      <c r="G339">
        <v>1</v>
      </c>
      <c r="H339">
        <v>1622</v>
      </c>
      <c r="I339" t="s">
        <v>2173</v>
      </c>
      <c r="M339" s="227" t="s">
        <v>2455</v>
      </c>
      <c r="N339" s="227">
        <v>24</v>
      </c>
      <c r="O339" s="227">
        <v>0.32510699999999998</v>
      </c>
      <c r="P339" s="227">
        <v>1.1277059</v>
      </c>
      <c r="Q339" s="227">
        <v>0.28680687999999999</v>
      </c>
      <c r="R339" s="227">
        <v>0.62497574</v>
      </c>
      <c r="S339" s="227">
        <v>1</v>
      </c>
      <c r="T339" s="227">
        <v>1622</v>
      </c>
      <c r="U339" s="227" t="s">
        <v>2173</v>
      </c>
    </row>
    <row r="340" spans="1:21" x14ac:dyDescent="0.25">
      <c r="A340" t="s">
        <v>2456</v>
      </c>
      <c r="B340">
        <v>44</v>
      </c>
      <c r="C340">
        <v>0.32529402000000002</v>
      </c>
      <c r="D340">
        <v>1.1264839</v>
      </c>
      <c r="E340">
        <v>0.27893737000000002</v>
      </c>
      <c r="F340">
        <v>0.62606200000000001</v>
      </c>
      <c r="G340">
        <v>1</v>
      </c>
      <c r="H340">
        <v>5380</v>
      </c>
      <c r="I340" t="s">
        <v>2254</v>
      </c>
      <c r="M340" s="227" t="s">
        <v>2456</v>
      </c>
      <c r="N340" s="227">
        <v>44</v>
      </c>
      <c r="O340" s="227">
        <v>0.32529402000000002</v>
      </c>
      <c r="P340" s="227">
        <v>1.1264839</v>
      </c>
      <c r="Q340" s="227">
        <v>0.27893737000000002</v>
      </c>
      <c r="R340" s="227">
        <v>0.62606200000000001</v>
      </c>
      <c r="S340" s="227">
        <v>1</v>
      </c>
      <c r="T340" s="227">
        <v>5380</v>
      </c>
      <c r="U340" s="227" t="s">
        <v>2254</v>
      </c>
    </row>
    <row r="341" spans="1:21" x14ac:dyDescent="0.25">
      <c r="A341" t="s">
        <v>2457</v>
      </c>
      <c r="B341">
        <v>19</v>
      </c>
      <c r="C341">
        <v>0.42487097000000001</v>
      </c>
      <c r="D341">
        <v>1.1259828999999999</v>
      </c>
      <c r="E341">
        <v>0.33523809999999998</v>
      </c>
      <c r="F341">
        <v>0.6253322</v>
      </c>
      <c r="G341">
        <v>1</v>
      </c>
      <c r="H341">
        <v>6378</v>
      </c>
      <c r="I341" t="s">
        <v>2458</v>
      </c>
      <c r="M341" s="227" t="s">
        <v>2457</v>
      </c>
      <c r="N341" s="227">
        <v>19</v>
      </c>
      <c r="O341" s="227">
        <v>0.42487097000000001</v>
      </c>
      <c r="P341" s="227">
        <v>1.1259828999999999</v>
      </c>
      <c r="Q341" s="227">
        <v>0.33523809999999998</v>
      </c>
      <c r="R341" s="227">
        <v>0.6253322</v>
      </c>
      <c r="S341" s="227">
        <v>1</v>
      </c>
      <c r="T341" s="227">
        <v>6378</v>
      </c>
      <c r="U341" s="227" t="s">
        <v>2458</v>
      </c>
    </row>
    <row r="342" spans="1:21" x14ac:dyDescent="0.25">
      <c r="A342" t="s">
        <v>2459</v>
      </c>
      <c r="B342">
        <v>84</v>
      </c>
      <c r="C342">
        <v>0.32296692999999999</v>
      </c>
      <c r="D342">
        <v>1.1244851</v>
      </c>
      <c r="E342">
        <v>0.27547169999999999</v>
      </c>
      <c r="F342">
        <v>0.62684019999999996</v>
      </c>
      <c r="G342">
        <v>1</v>
      </c>
      <c r="H342">
        <v>6539</v>
      </c>
      <c r="I342" t="s">
        <v>2389</v>
      </c>
      <c r="M342" s="227" t="s">
        <v>2459</v>
      </c>
      <c r="N342" s="227">
        <v>84</v>
      </c>
      <c r="O342" s="227">
        <v>0.32296692999999999</v>
      </c>
      <c r="P342" s="227">
        <v>1.1244851</v>
      </c>
      <c r="Q342" s="227">
        <v>0.27547169999999999</v>
      </c>
      <c r="R342" s="227">
        <v>0.62684019999999996</v>
      </c>
      <c r="S342" s="227">
        <v>1</v>
      </c>
      <c r="T342" s="227">
        <v>6539</v>
      </c>
      <c r="U342" s="227" t="s">
        <v>2389</v>
      </c>
    </row>
    <row r="343" spans="1:21" x14ac:dyDescent="0.25">
      <c r="A343" t="s">
        <v>2460</v>
      </c>
      <c r="B343">
        <v>17</v>
      </c>
      <c r="C343">
        <v>0.40416232000000002</v>
      </c>
      <c r="D343">
        <v>1.1244700999999999</v>
      </c>
      <c r="E343">
        <v>0.3120155</v>
      </c>
      <c r="F343">
        <v>0.62504493999999999</v>
      </c>
      <c r="G343">
        <v>1</v>
      </c>
      <c r="H343">
        <v>4993</v>
      </c>
      <c r="I343" t="s">
        <v>2461</v>
      </c>
      <c r="M343" s="227" t="s">
        <v>2460</v>
      </c>
      <c r="N343" s="227">
        <v>17</v>
      </c>
      <c r="O343" s="227">
        <v>0.40416232000000002</v>
      </c>
      <c r="P343" s="227">
        <v>1.1244700999999999</v>
      </c>
      <c r="Q343" s="227">
        <v>0.3120155</v>
      </c>
      <c r="R343" s="227">
        <v>0.62504493999999999</v>
      </c>
      <c r="S343" s="227">
        <v>1</v>
      </c>
      <c r="T343" s="227">
        <v>4993</v>
      </c>
      <c r="U343" s="227" t="s">
        <v>2461</v>
      </c>
    </row>
    <row r="344" spans="1:21" x14ac:dyDescent="0.25">
      <c r="A344" t="s">
        <v>2462</v>
      </c>
      <c r="B344">
        <v>66</v>
      </c>
      <c r="C344">
        <v>0.35117157999999998</v>
      </c>
      <c r="D344">
        <v>1.1242683</v>
      </c>
      <c r="E344">
        <v>0.32624113999999999</v>
      </c>
      <c r="F344">
        <v>0.62367404000000004</v>
      </c>
      <c r="G344">
        <v>1</v>
      </c>
      <c r="H344">
        <v>6576</v>
      </c>
      <c r="I344" t="s">
        <v>2463</v>
      </c>
      <c r="M344" s="227" t="s">
        <v>2462</v>
      </c>
      <c r="N344" s="227">
        <v>66</v>
      </c>
      <c r="O344" s="227">
        <v>0.35117157999999998</v>
      </c>
      <c r="P344" s="227">
        <v>1.1242683</v>
      </c>
      <c r="Q344" s="227">
        <v>0.32624113999999999</v>
      </c>
      <c r="R344" s="227">
        <v>0.62367404000000004</v>
      </c>
      <c r="S344" s="227">
        <v>1</v>
      </c>
      <c r="T344" s="227">
        <v>6576</v>
      </c>
      <c r="U344" s="227" t="s">
        <v>2463</v>
      </c>
    </row>
    <row r="345" spans="1:21" x14ac:dyDescent="0.25">
      <c r="A345" t="s">
        <v>2464</v>
      </c>
      <c r="B345">
        <v>87</v>
      </c>
      <c r="C345">
        <v>0.26011473000000002</v>
      </c>
      <c r="D345">
        <v>1.1207324000000001</v>
      </c>
      <c r="E345">
        <v>0.28628229999999999</v>
      </c>
      <c r="F345">
        <v>0.62969050000000004</v>
      </c>
      <c r="G345">
        <v>1</v>
      </c>
      <c r="H345">
        <v>3300</v>
      </c>
      <c r="I345" t="s">
        <v>2377</v>
      </c>
      <c r="M345" s="227" t="s">
        <v>2464</v>
      </c>
      <c r="N345" s="227">
        <v>87</v>
      </c>
      <c r="O345" s="227">
        <v>0.26011473000000002</v>
      </c>
      <c r="P345" s="227">
        <v>1.1207324000000001</v>
      </c>
      <c r="Q345" s="227">
        <v>0.28628229999999999</v>
      </c>
      <c r="R345" s="227">
        <v>0.62969050000000004</v>
      </c>
      <c r="S345" s="227">
        <v>1</v>
      </c>
      <c r="T345" s="227">
        <v>3300</v>
      </c>
      <c r="U345" s="227" t="s">
        <v>2377</v>
      </c>
    </row>
    <row r="346" spans="1:21" x14ac:dyDescent="0.25">
      <c r="A346" t="s">
        <v>2465</v>
      </c>
      <c r="B346">
        <v>20</v>
      </c>
      <c r="C346">
        <v>0.35992953</v>
      </c>
      <c r="D346">
        <v>1.1203836</v>
      </c>
      <c r="E346">
        <v>0.32358672999999999</v>
      </c>
      <c r="F346">
        <v>0.62872070000000002</v>
      </c>
      <c r="G346">
        <v>1</v>
      </c>
      <c r="H346">
        <v>2660</v>
      </c>
      <c r="I346" t="s">
        <v>2287</v>
      </c>
      <c r="M346" s="227" t="s">
        <v>2465</v>
      </c>
      <c r="N346" s="227">
        <v>20</v>
      </c>
      <c r="O346" s="227">
        <v>0.35992953</v>
      </c>
      <c r="P346" s="227">
        <v>1.1203836</v>
      </c>
      <c r="Q346" s="227">
        <v>0.32358672999999999</v>
      </c>
      <c r="R346" s="227">
        <v>0.62872070000000002</v>
      </c>
      <c r="S346" s="227">
        <v>1</v>
      </c>
      <c r="T346" s="227">
        <v>2660</v>
      </c>
      <c r="U346" s="227" t="s">
        <v>2287</v>
      </c>
    </row>
    <row r="347" spans="1:21" x14ac:dyDescent="0.25">
      <c r="A347" t="s">
        <v>2466</v>
      </c>
      <c r="B347">
        <v>30</v>
      </c>
      <c r="C347">
        <v>0.35096765000000002</v>
      </c>
      <c r="D347">
        <v>1.1179067</v>
      </c>
      <c r="E347">
        <v>0.32902031999999998</v>
      </c>
      <c r="F347">
        <v>0.63253859999999995</v>
      </c>
      <c r="G347">
        <v>1</v>
      </c>
      <c r="H347">
        <v>7282</v>
      </c>
      <c r="I347" t="s">
        <v>2467</v>
      </c>
      <c r="M347" s="227" t="s">
        <v>2466</v>
      </c>
      <c r="N347" s="227">
        <v>30</v>
      </c>
      <c r="O347" s="227">
        <v>0.35096765000000002</v>
      </c>
      <c r="P347" s="227">
        <v>1.1179067</v>
      </c>
      <c r="Q347" s="227">
        <v>0.32902031999999998</v>
      </c>
      <c r="R347" s="227">
        <v>0.63253859999999995</v>
      </c>
      <c r="S347" s="227">
        <v>1</v>
      </c>
      <c r="T347" s="227">
        <v>7282</v>
      </c>
      <c r="U347" s="227" t="s">
        <v>2467</v>
      </c>
    </row>
    <row r="348" spans="1:21" x14ac:dyDescent="0.25">
      <c r="A348" t="s">
        <v>2468</v>
      </c>
      <c r="B348">
        <v>68</v>
      </c>
      <c r="C348">
        <v>0.2580324</v>
      </c>
      <c r="D348">
        <v>1.1155173</v>
      </c>
      <c r="E348">
        <v>0.2654321</v>
      </c>
      <c r="F348">
        <v>0.63637160000000004</v>
      </c>
      <c r="G348">
        <v>1</v>
      </c>
      <c r="H348">
        <v>4360</v>
      </c>
      <c r="I348" t="s">
        <v>2469</v>
      </c>
      <c r="M348" s="227" t="s">
        <v>2468</v>
      </c>
      <c r="N348" s="227">
        <v>68</v>
      </c>
      <c r="O348" s="227">
        <v>0.2580324</v>
      </c>
      <c r="P348" s="227">
        <v>1.1155173</v>
      </c>
      <c r="Q348" s="227">
        <v>0.2654321</v>
      </c>
      <c r="R348" s="227">
        <v>0.63637160000000004</v>
      </c>
      <c r="S348" s="227">
        <v>1</v>
      </c>
      <c r="T348" s="227">
        <v>4360</v>
      </c>
      <c r="U348" s="227" t="s">
        <v>2469</v>
      </c>
    </row>
    <row r="349" spans="1:21" x14ac:dyDescent="0.25">
      <c r="A349" t="s">
        <v>2470</v>
      </c>
      <c r="B349">
        <v>50</v>
      </c>
      <c r="C349">
        <v>0.42193648</v>
      </c>
      <c r="D349">
        <v>1.1152207999999999</v>
      </c>
      <c r="E349">
        <v>0.35963303000000002</v>
      </c>
      <c r="F349">
        <v>0.63520069999999995</v>
      </c>
      <c r="G349">
        <v>1</v>
      </c>
      <c r="H349">
        <v>6167</v>
      </c>
      <c r="I349" t="s">
        <v>2471</v>
      </c>
      <c r="M349" s="227" t="s">
        <v>2470</v>
      </c>
      <c r="N349" s="227">
        <v>50</v>
      </c>
      <c r="O349" s="227">
        <v>0.42193648</v>
      </c>
      <c r="P349" s="227">
        <v>1.1152207999999999</v>
      </c>
      <c r="Q349" s="227">
        <v>0.35963303000000002</v>
      </c>
      <c r="R349" s="227">
        <v>0.63520069999999995</v>
      </c>
      <c r="S349" s="227">
        <v>1</v>
      </c>
      <c r="T349" s="227">
        <v>6167</v>
      </c>
      <c r="U349" s="227" t="s">
        <v>2471</v>
      </c>
    </row>
    <row r="350" spans="1:21" x14ac:dyDescent="0.25">
      <c r="A350" t="s">
        <v>2472</v>
      </c>
      <c r="B350">
        <v>23</v>
      </c>
      <c r="C350">
        <v>0.45601227999999999</v>
      </c>
      <c r="D350">
        <v>1.1142212</v>
      </c>
      <c r="E350">
        <v>0.35765122999999999</v>
      </c>
      <c r="F350">
        <v>0.63566129999999998</v>
      </c>
      <c r="G350">
        <v>1</v>
      </c>
      <c r="H350">
        <v>4694</v>
      </c>
      <c r="I350" t="s">
        <v>2473</v>
      </c>
      <c r="M350" s="227" t="s">
        <v>2472</v>
      </c>
      <c r="N350" s="227">
        <v>23</v>
      </c>
      <c r="O350" s="227">
        <v>0.45601227999999999</v>
      </c>
      <c r="P350" s="227">
        <v>1.1142212</v>
      </c>
      <c r="Q350" s="227">
        <v>0.35765122999999999</v>
      </c>
      <c r="R350" s="227">
        <v>0.63566129999999998</v>
      </c>
      <c r="S350" s="227">
        <v>1</v>
      </c>
      <c r="T350" s="227">
        <v>4694</v>
      </c>
      <c r="U350" s="227" t="s">
        <v>2473</v>
      </c>
    </row>
    <row r="351" spans="1:21" x14ac:dyDescent="0.25">
      <c r="A351" t="s">
        <v>2474</v>
      </c>
      <c r="B351">
        <v>67</v>
      </c>
      <c r="C351">
        <v>0.33446112</v>
      </c>
      <c r="D351">
        <v>1.1124350000000001</v>
      </c>
      <c r="E351">
        <v>0.37689393999999998</v>
      </c>
      <c r="F351">
        <v>0.63795880000000005</v>
      </c>
      <c r="G351">
        <v>1</v>
      </c>
      <c r="H351">
        <v>5632</v>
      </c>
      <c r="I351" t="s">
        <v>2475</v>
      </c>
      <c r="M351" s="227" t="s">
        <v>2474</v>
      </c>
      <c r="N351" s="227">
        <v>67</v>
      </c>
      <c r="O351" s="227">
        <v>0.33446112</v>
      </c>
      <c r="P351" s="227">
        <v>1.1124350000000001</v>
      </c>
      <c r="Q351" s="227">
        <v>0.37689393999999998</v>
      </c>
      <c r="R351" s="227">
        <v>0.63795880000000005</v>
      </c>
      <c r="S351" s="227">
        <v>1</v>
      </c>
      <c r="T351" s="227">
        <v>5632</v>
      </c>
      <c r="U351" s="227" t="s">
        <v>2475</v>
      </c>
    </row>
    <row r="352" spans="1:21" x14ac:dyDescent="0.25">
      <c r="A352" t="s">
        <v>2476</v>
      </c>
      <c r="B352">
        <v>95</v>
      </c>
      <c r="C352">
        <v>0.30422270000000001</v>
      </c>
      <c r="D352">
        <v>1.1122890999999999</v>
      </c>
      <c r="E352">
        <v>0.32007954</v>
      </c>
      <c r="F352">
        <v>0.63644195000000003</v>
      </c>
      <c r="G352">
        <v>1</v>
      </c>
      <c r="H352">
        <v>3613</v>
      </c>
      <c r="I352" t="s">
        <v>2477</v>
      </c>
      <c r="M352" s="227" t="s">
        <v>2476</v>
      </c>
      <c r="N352" s="227">
        <v>95</v>
      </c>
      <c r="O352" s="227">
        <v>0.30422270000000001</v>
      </c>
      <c r="P352" s="227">
        <v>1.1122890999999999</v>
      </c>
      <c r="Q352" s="227">
        <v>0.32007954</v>
      </c>
      <c r="R352" s="227">
        <v>0.63644195000000003</v>
      </c>
      <c r="S352" s="227">
        <v>1</v>
      </c>
      <c r="T352" s="227">
        <v>3613</v>
      </c>
      <c r="U352" s="227" t="s">
        <v>2477</v>
      </c>
    </row>
    <row r="353" spans="1:21" x14ac:dyDescent="0.25">
      <c r="A353" t="s">
        <v>2478</v>
      </c>
      <c r="B353">
        <v>162</v>
      </c>
      <c r="C353">
        <v>0.22304030999999999</v>
      </c>
      <c r="D353">
        <v>1.1115781</v>
      </c>
      <c r="E353">
        <v>0.24910394999999999</v>
      </c>
      <c r="F353">
        <v>0.63607040000000004</v>
      </c>
      <c r="G353">
        <v>1</v>
      </c>
      <c r="H353">
        <v>2587</v>
      </c>
      <c r="I353" t="s">
        <v>2479</v>
      </c>
      <c r="M353" s="227" t="s">
        <v>2478</v>
      </c>
      <c r="N353" s="227">
        <v>162</v>
      </c>
      <c r="O353" s="227">
        <v>0.22304030999999999</v>
      </c>
      <c r="P353" s="227">
        <v>1.1115781</v>
      </c>
      <c r="Q353" s="227">
        <v>0.24910394999999999</v>
      </c>
      <c r="R353" s="227">
        <v>0.63607040000000004</v>
      </c>
      <c r="S353" s="227">
        <v>1</v>
      </c>
      <c r="T353" s="227">
        <v>2587</v>
      </c>
      <c r="U353" s="227" t="s">
        <v>2479</v>
      </c>
    </row>
    <row r="354" spans="1:21" x14ac:dyDescent="0.25">
      <c r="A354" t="s">
        <v>2480</v>
      </c>
      <c r="B354">
        <v>342</v>
      </c>
      <c r="C354">
        <v>0.24764568000000001</v>
      </c>
      <c r="D354">
        <v>1.1081510000000001</v>
      </c>
      <c r="E354">
        <v>0.29087449999999998</v>
      </c>
      <c r="F354">
        <v>0.64193290000000003</v>
      </c>
      <c r="G354">
        <v>1</v>
      </c>
      <c r="H354">
        <v>4621</v>
      </c>
      <c r="I354" t="s">
        <v>2481</v>
      </c>
      <c r="M354" s="227" t="s">
        <v>2480</v>
      </c>
      <c r="N354" s="227">
        <v>342</v>
      </c>
      <c r="O354" s="227">
        <v>0.24764568000000001</v>
      </c>
      <c r="P354" s="227">
        <v>1.1081510000000001</v>
      </c>
      <c r="Q354" s="227">
        <v>0.29087449999999998</v>
      </c>
      <c r="R354" s="227">
        <v>0.64193290000000003</v>
      </c>
      <c r="S354" s="227">
        <v>1</v>
      </c>
      <c r="T354" s="227">
        <v>4621</v>
      </c>
      <c r="U354" s="227" t="s">
        <v>2481</v>
      </c>
    </row>
    <row r="355" spans="1:21" x14ac:dyDescent="0.25">
      <c r="A355" t="s">
        <v>2482</v>
      </c>
      <c r="B355">
        <v>57</v>
      </c>
      <c r="C355">
        <v>0.26096492999999998</v>
      </c>
      <c r="D355">
        <v>1.1070955</v>
      </c>
      <c r="E355">
        <v>0.27650730000000001</v>
      </c>
      <c r="F355">
        <v>0.64249206000000003</v>
      </c>
      <c r="G355">
        <v>1</v>
      </c>
      <c r="H355">
        <v>4360</v>
      </c>
      <c r="I355" t="s">
        <v>2483</v>
      </c>
      <c r="M355" s="227" t="s">
        <v>2482</v>
      </c>
      <c r="N355" s="227">
        <v>57</v>
      </c>
      <c r="O355" s="227">
        <v>0.26096492999999998</v>
      </c>
      <c r="P355" s="227">
        <v>1.1070955</v>
      </c>
      <c r="Q355" s="227">
        <v>0.27650730000000001</v>
      </c>
      <c r="R355" s="227">
        <v>0.64249206000000003</v>
      </c>
      <c r="S355" s="227">
        <v>1</v>
      </c>
      <c r="T355" s="227">
        <v>4360</v>
      </c>
      <c r="U355" s="227" t="s">
        <v>2483</v>
      </c>
    </row>
    <row r="356" spans="1:21" x14ac:dyDescent="0.25">
      <c r="A356" t="s">
        <v>2484</v>
      </c>
      <c r="B356">
        <v>15</v>
      </c>
      <c r="C356">
        <v>0.35162389999999999</v>
      </c>
      <c r="D356">
        <v>1.1066022</v>
      </c>
      <c r="E356">
        <v>0.30846774999999999</v>
      </c>
      <c r="F356">
        <v>0.64186410000000005</v>
      </c>
      <c r="G356">
        <v>1</v>
      </c>
      <c r="H356">
        <v>6225</v>
      </c>
      <c r="I356" t="s">
        <v>2485</v>
      </c>
      <c r="M356" s="227" t="s">
        <v>2484</v>
      </c>
      <c r="N356" s="227">
        <v>15</v>
      </c>
      <c r="O356" s="227">
        <v>0.35162389999999999</v>
      </c>
      <c r="P356" s="227">
        <v>1.1066022</v>
      </c>
      <c r="Q356" s="227">
        <v>0.30846774999999999</v>
      </c>
      <c r="R356" s="227">
        <v>0.64186410000000005</v>
      </c>
      <c r="S356" s="227">
        <v>1</v>
      </c>
      <c r="T356" s="227">
        <v>6225</v>
      </c>
      <c r="U356" s="227" t="s">
        <v>2485</v>
      </c>
    </row>
    <row r="357" spans="1:21" x14ac:dyDescent="0.25">
      <c r="A357" t="s">
        <v>2486</v>
      </c>
      <c r="B357">
        <v>35</v>
      </c>
      <c r="C357">
        <v>0.32831412999999998</v>
      </c>
      <c r="D357">
        <v>1.1047627</v>
      </c>
      <c r="E357">
        <v>0.33469388</v>
      </c>
      <c r="F357">
        <v>0.6442116</v>
      </c>
      <c r="G357">
        <v>1</v>
      </c>
      <c r="H357">
        <v>4560</v>
      </c>
      <c r="I357" t="s">
        <v>2487</v>
      </c>
      <c r="M357" s="227" t="s">
        <v>2486</v>
      </c>
      <c r="N357" s="227">
        <v>35</v>
      </c>
      <c r="O357" s="227">
        <v>0.32831412999999998</v>
      </c>
      <c r="P357" s="227">
        <v>1.1047627</v>
      </c>
      <c r="Q357" s="227">
        <v>0.33469388</v>
      </c>
      <c r="R357" s="227">
        <v>0.6442116</v>
      </c>
      <c r="S357" s="227">
        <v>1</v>
      </c>
      <c r="T357" s="227">
        <v>4560</v>
      </c>
      <c r="U357" s="227" t="s">
        <v>2487</v>
      </c>
    </row>
    <row r="358" spans="1:21" x14ac:dyDescent="0.25">
      <c r="A358" t="s">
        <v>2488</v>
      </c>
      <c r="B358">
        <v>284</v>
      </c>
      <c r="C358">
        <v>0.28508475</v>
      </c>
      <c r="D358">
        <v>1.1034567</v>
      </c>
      <c r="E358">
        <v>0.32142857000000002</v>
      </c>
      <c r="F358">
        <v>0.64542370000000004</v>
      </c>
      <c r="G358">
        <v>1</v>
      </c>
      <c r="H358">
        <v>5515</v>
      </c>
      <c r="I358" t="s">
        <v>2489</v>
      </c>
      <c r="M358" s="227" t="s">
        <v>2488</v>
      </c>
      <c r="N358" s="227">
        <v>284</v>
      </c>
      <c r="O358" s="227">
        <v>0.28508475</v>
      </c>
      <c r="P358" s="227">
        <v>1.1034567</v>
      </c>
      <c r="Q358" s="227">
        <v>0.32142857000000002</v>
      </c>
      <c r="R358" s="227">
        <v>0.64542370000000004</v>
      </c>
      <c r="S358" s="227">
        <v>1</v>
      </c>
      <c r="T358" s="227">
        <v>5515</v>
      </c>
      <c r="U358" s="227" t="s">
        <v>2489</v>
      </c>
    </row>
    <row r="359" spans="1:21" x14ac:dyDescent="0.25">
      <c r="A359" t="s">
        <v>2490</v>
      </c>
      <c r="B359">
        <v>27</v>
      </c>
      <c r="C359">
        <v>0.34790564000000002</v>
      </c>
      <c r="D359">
        <v>1.1030340000000001</v>
      </c>
      <c r="E359">
        <v>0.34623218</v>
      </c>
      <c r="F359">
        <v>0.64458740000000003</v>
      </c>
      <c r="G359">
        <v>1</v>
      </c>
      <c r="H359">
        <v>5643</v>
      </c>
      <c r="I359" t="s">
        <v>2360</v>
      </c>
      <c r="M359" s="227" t="s">
        <v>2490</v>
      </c>
      <c r="N359" s="227">
        <v>27</v>
      </c>
      <c r="O359" s="227">
        <v>0.34790564000000002</v>
      </c>
      <c r="P359" s="227">
        <v>1.1030340000000001</v>
      </c>
      <c r="Q359" s="227">
        <v>0.34623218</v>
      </c>
      <c r="R359" s="227">
        <v>0.64458740000000003</v>
      </c>
      <c r="S359" s="227">
        <v>1</v>
      </c>
      <c r="T359" s="227">
        <v>5643</v>
      </c>
      <c r="U359" s="227" t="s">
        <v>2360</v>
      </c>
    </row>
    <row r="360" spans="1:21" x14ac:dyDescent="0.25">
      <c r="A360" t="s">
        <v>2491</v>
      </c>
      <c r="B360">
        <v>250</v>
      </c>
      <c r="C360">
        <v>0.22009717000000001</v>
      </c>
      <c r="D360">
        <v>1.1018994</v>
      </c>
      <c r="E360">
        <v>0.25370369999999998</v>
      </c>
      <c r="F360">
        <v>0.64513659999999995</v>
      </c>
      <c r="G360">
        <v>1</v>
      </c>
      <c r="H360">
        <v>4839</v>
      </c>
      <c r="I360" t="s">
        <v>2370</v>
      </c>
      <c r="M360" s="227" t="s">
        <v>2491</v>
      </c>
      <c r="N360" s="227">
        <v>250</v>
      </c>
      <c r="O360" s="227">
        <v>0.22009717000000001</v>
      </c>
      <c r="P360" s="227">
        <v>1.1018994</v>
      </c>
      <c r="Q360" s="227">
        <v>0.25370369999999998</v>
      </c>
      <c r="R360" s="227">
        <v>0.64513659999999995</v>
      </c>
      <c r="S360" s="227">
        <v>1</v>
      </c>
      <c r="T360" s="227">
        <v>4839</v>
      </c>
      <c r="U360" s="227" t="s">
        <v>2370</v>
      </c>
    </row>
    <row r="361" spans="1:21" x14ac:dyDescent="0.25">
      <c r="A361" t="s">
        <v>2492</v>
      </c>
      <c r="B361">
        <v>99</v>
      </c>
      <c r="C361">
        <v>0.30012630000000001</v>
      </c>
      <c r="D361">
        <v>1.1016737000000001</v>
      </c>
      <c r="E361">
        <v>0.30727272999999999</v>
      </c>
      <c r="F361">
        <v>0.64389335999999997</v>
      </c>
      <c r="G361">
        <v>1</v>
      </c>
      <c r="H361">
        <v>5473</v>
      </c>
      <c r="I361" t="s">
        <v>2493</v>
      </c>
      <c r="M361" s="227" t="s">
        <v>2492</v>
      </c>
      <c r="N361" s="227">
        <v>99</v>
      </c>
      <c r="O361" s="227">
        <v>0.30012630000000001</v>
      </c>
      <c r="P361" s="227">
        <v>1.1016737000000001</v>
      </c>
      <c r="Q361" s="227">
        <v>0.30727272999999999</v>
      </c>
      <c r="R361" s="227">
        <v>0.64389335999999997</v>
      </c>
      <c r="S361" s="227">
        <v>1</v>
      </c>
      <c r="T361" s="227">
        <v>5473</v>
      </c>
      <c r="U361" s="227" t="s">
        <v>2493</v>
      </c>
    </row>
    <row r="362" spans="1:21" x14ac:dyDescent="0.25">
      <c r="A362" t="s">
        <v>2494</v>
      </c>
      <c r="B362">
        <v>222</v>
      </c>
      <c r="C362">
        <v>0.25178669999999997</v>
      </c>
      <c r="D362">
        <v>1.1010975000000001</v>
      </c>
      <c r="E362">
        <v>0.30975142</v>
      </c>
      <c r="F362">
        <v>0.64347449999999995</v>
      </c>
      <c r="G362">
        <v>1</v>
      </c>
      <c r="H362">
        <v>5251</v>
      </c>
      <c r="I362" t="s">
        <v>2495</v>
      </c>
      <c r="M362" s="227" t="s">
        <v>2494</v>
      </c>
      <c r="N362" s="227">
        <v>222</v>
      </c>
      <c r="O362" s="227">
        <v>0.25178669999999997</v>
      </c>
      <c r="P362" s="227">
        <v>1.1010975000000001</v>
      </c>
      <c r="Q362" s="227">
        <v>0.30975142</v>
      </c>
      <c r="R362" s="227">
        <v>0.64347449999999995</v>
      </c>
      <c r="S362" s="227">
        <v>1</v>
      </c>
      <c r="T362" s="227">
        <v>5251</v>
      </c>
      <c r="U362" s="227" t="s">
        <v>2495</v>
      </c>
    </row>
    <row r="363" spans="1:21" x14ac:dyDescent="0.25">
      <c r="A363" t="s">
        <v>2496</v>
      </c>
      <c r="B363">
        <v>22</v>
      </c>
      <c r="C363">
        <v>0.34965007999999997</v>
      </c>
      <c r="D363">
        <v>1.1008754999999999</v>
      </c>
      <c r="E363">
        <v>0.32443532000000003</v>
      </c>
      <c r="F363">
        <v>0.64220569999999999</v>
      </c>
      <c r="G363">
        <v>1</v>
      </c>
      <c r="H363">
        <v>1559</v>
      </c>
      <c r="I363" t="s">
        <v>2016</v>
      </c>
      <c r="M363" s="227" t="s">
        <v>2496</v>
      </c>
      <c r="N363" s="227">
        <v>22</v>
      </c>
      <c r="O363" s="227">
        <v>0.34965007999999997</v>
      </c>
      <c r="P363" s="227">
        <v>1.1008754999999999</v>
      </c>
      <c r="Q363" s="227">
        <v>0.32443532000000003</v>
      </c>
      <c r="R363" s="227">
        <v>0.64220569999999999</v>
      </c>
      <c r="S363" s="227">
        <v>1</v>
      </c>
      <c r="T363" s="227">
        <v>1559</v>
      </c>
      <c r="U363" s="227" t="s">
        <v>2016</v>
      </c>
    </row>
    <row r="364" spans="1:21" x14ac:dyDescent="0.25">
      <c r="A364" t="s">
        <v>2497</v>
      </c>
      <c r="B364">
        <v>26</v>
      </c>
      <c r="C364">
        <v>0.32232539999999998</v>
      </c>
      <c r="D364">
        <v>1.1003217000000001</v>
      </c>
      <c r="E364">
        <v>0.30645161999999998</v>
      </c>
      <c r="F364">
        <v>0.64184576000000004</v>
      </c>
      <c r="G364">
        <v>1</v>
      </c>
      <c r="H364">
        <v>5334</v>
      </c>
      <c r="I364" t="s">
        <v>2498</v>
      </c>
      <c r="M364" s="227" t="s">
        <v>2497</v>
      </c>
      <c r="N364" s="227">
        <v>26</v>
      </c>
      <c r="O364" s="227">
        <v>0.32232539999999998</v>
      </c>
      <c r="P364" s="227">
        <v>1.1003217000000001</v>
      </c>
      <c r="Q364" s="227">
        <v>0.30645161999999998</v>
      </c>
      <c r="R364" s="227">
        <v>0.64184576000000004</v>
      </c>
      <c r="S364" s="227">
        <v>1</v>
      </c>
      <c r="T364" s="227">
        <v>5334</v>
      </c>
      <c r="U364" s="227" t="s">
        <v>2498</v>
      </c>
    </row>
    <row r="365" spans="1:21" x14ac:dyDescent="0.25">
      <c r="A365" t="s">
        <v>2499</v>
      </c>
      <c r="B365">
        <v>57</v>
      </c>
      <c r="C365">
        <v>0.42144027000000001</v>
      </c>
      <c r="D365">
        <v>1.0999570000000001</v>
      </c>
      <c r="E365">
        <v>0.3691508</v>
      </c>
      <c r="F365">
        <v>0.64080817000000001</v>
      </c>
      <c r="G365">
        <v>1</v>
      </c>
      <c r="H365">
        <v>6378</v>
      </c>
      <c r="I365" t="s">
        <v>2500</v>
      </c>
      <c r="M365" s="227" t="s">
        <v>2499</v>
      </c>
      <c r="N365" s="227">
        <v>57</v>
      </c>
      <c r="O365" s="227">
        <v>0.42144027000000001</v>
      </c>
      <c r="P365" s="227">
        <v>1.0999570000000001</v>
      </c>
      <c r="Q365" s="227">
        <v>0.3691508</v>
      </c>
      <c r="R365" s="227">
        <v>0.64080817000000001</v>
      </c>
      <c r="S365" s="227">
        <v>1</v>
      </c>
      <c r="T365" s="227">
        <v>6378</v>
      </c>
      <c r="U365" s="227" t="s">
        <v>2500</v>
      </c>
    </row>
    <row r="366" spans="1:21" x14ac:dyDescent="0.25">
      <c r="A366" t="s">
        <v>2501</v>
      </c>
      <c r="B366">
        <v>21</v>
      </c>
      <c r="C366">
        <v>0.38551291999999998</v>
      </c>
      <c r="D366">
        <v>1.0979688999999999</v>
      </c>
      <c r="E366">
        <v>0.36622389999999999</v>
      </c>
      <c r="F366">
        <v>0.64363409999999999</v>
      </c>
      <c r="G366">
        <v>1</v>
      </c>
      <c r="H366">
        <v>6661</v>
      </c>
      <c r="I366" t="s">
        <v>2399</v>
      </c>
      <c r="M366" s="227" t="s">
        <v>2501</v>
      </c>
      <c r="N366" s="227">
        <v>21</v>
      </c>
      <c r="O366" s="227">
        <v>0.38551291999999998</v>
      </c>
      <c r="P366" s="227">
        <v>1.0979688999999999</v>
      </c>
      <c r="Q366" s="227">
        <v>0.36622389999999999</v>
      </c>
      <c r="R366" s="227">
        <v>0.64363409999999999</v>
      </c>
      <c r="S366" s="227">
        <v>1</v>
      </c>
      <c r="T366" s="227">
        <v>6661</v>
      </c>
      <c r="U366" s="227" t="s">
        <v>2399</v>
      </c>
    </row>
    <row r="367" spans="1:21" x14ac:dyDescent="0.25">
      <c r="A367" t="s">
        <v>2502</v>
      </c>
      <c r="B367">
        <v>79</v>
      </c>
      <c r="C367">
        <v>0.2680884</v>
      </c>
      <c r="D367">
        <v>1.0965627</v>
      </c>
      <c r="E367">
        <v>0.32301742</v>
      </c>
      <c r="F367">
        <v>0.64488659999999998</v>
      </c>
      <c r="G367">
        <v>1</v>
      </c>
      <c r="H367">
        <v>4883</v>
      </c>
      <c r="I367" t="s">
        <v>2503</v>
      </c>
      <c r="M367" s="227" t="s">
        <v>2502</v>
      </c>
      <c r="N367" s="227">
        <v>79</v>
      </c>
      <c r="O367" s="227">
        <v>0.2680884</v>
      </c>
      <c r="P367" s="227">
        <v>1.0965627</v>
      </c>
      <c r="Q367" s="227">
        <v>0.32301742</v>
      </c>
      <c r="R367" s="227">
        <v>0.64488659999999998</v>
      </c>
      <c r="S367" s="227">
        <v>1</v>
      </c>
      <c r="T367" s="227">
        <v>4883</v>
      </c>
      <c r="U367" s="227" t="s">
        <v>2503</v>
      </c>
    </row>
    <row r="368" spans="1:21" x14ac:dyDescent="0.25">
      <c r="A368" t="s">
        <v>2504</v>
      </c>
      <c r="B368">
        <v>21</v>
      </c>
      <c r="C368">
        <v>0.36681795</v>
      </c>
      <c r="D368">
        <v>1.0963358999999999</v>
      </c>
      <c r="E368">
        <v>0.35018726999999999</v>
      </c>
      <c r="F368">
        <v>0.64361215000000005</v>
      </c>
      <c r="G368">
        <v>1</v>
      </c>
      <c r="H368">
        <v>2629</v>
      </c>
      <c r="I368" t="s">
        <v>2505</v>
      </c>
      <c r="M368" s="227" t="s">
        <v>2504</v>
      </c>
      <c r="N368" s="227">
        <v>21</v>
      </c>
      <c r="O368" s="227">
        <v>0.36681795</v>
      </c>
      <c r="P368" s="227">
        <v>1.0963358999999999</v>
      </c>
      <c r="Q368" s="227">
        <v>0.35018726999999999</v>
      </c>
      <c r="R368" s="227">
        <v>0.64361215000000005</v>
      </c>
      <c r="S368" s="227">
        <v>1</v>
      </c>
      <c r="T368" s="227">
        <v>2629</v>
      </c>
      <c r="U368" s="227" t="s">
        <v>2505</v>
      </c>
    </row>
    <row r="369" spans="1:21" x14ac:dyDescent="0.25">
      <c r="A369" t="s">
        <v>2506</v>
      </c>
      <c r="B369">
        <v>45</v>
      </c>
      <c r="C369">
        <v>0.3842083</v>
      </c>
      <c r="D369">
        <v>1.0949978</v>
      </c>
      <c r="E369">
        <v>0.37742503999999999</v>
      </c>
      <c r="F369">
        <v>0.64466155000000003</v>
      </c>
      <c r="G369">
        <v>1</v>
      </c>
      <c r="H369">
        <v>5183</v>
      </c>
      <c r="I369" t="s">
        <v>2507</v>
      </c>
      <c r="M369" s="227" t="s">
        <v>2506</v>
      </c>
      <c r="N369" s="227">
        <v>45</v>
      </c>
      <c r="O369" s="227">
        <v>0.3842083</v>
      </c>
      <c r="P369" s="227">
        <v>1.0949978</v>
      </c>
      <c r="Q369" s="227">
        <v>0.37742503999999999</v>
      </c>
      <c r="R369" s="227">
        <v>0.64466155000000003</v>
      </c>
      <c r="S369" s="227">
        <v>1</v>
      </c>
      <c r="T369" s="227">
        <v>5183</v>
      </c>
      <c r="U369" s="227" t="s">
        <v>2507</v>
      </c>
    </row>
    <row r="370" spans="1:21" x14ac:dyDescent="0.25">
      <c r="A370" t="s">
        <v>2508</v>
      </c>
      <c r="B370">
        <v>22</v>
      </c>
      <c r="C370">
        <v>0.37479213</v>
      </c>
      <c r="D370">
        <v>1.0945144</v>
      </c>
      <c r="E370">
        <v>0.35150376</v>
      </c>
      <c r="F370">
        <v>0.64397260000000001</v>
      </c>
      <c r="G370">
        <v>1</v>
      </c>
      <c r="H370">
        <v>4825</v>
      </c>
      <c r="I370" t="s">
        <v>2509</v>
      </c>
      <c r="M370" s="227" t="s">
        <v>2508</v>
      </c>
      <c r="N370" s="227">
        <v>22</v>
      </c>
      <c r="O370" s="227">
        <v>0.37479213</v>
      </c>
      <c r="P370" s="227">
        <v>1.0945144</v>
      </c>
      <c r="Q370" s="227">
        <v>0.35150376</v>
      </c>
      <c r="R370" s="227">
        <v>0.64397260000000001</v>
      </c>
      <c r="S370" s="227">
        <v>1</v>
      </c>
      <c r="T370" s="227">
        <v>4825</v>
      </c>
      <c r="U370" s="227" t="s">
        <v>2509</v>
      </c>
    </row>
    <row r="371" spans="1:21" x14ac:dyDescent="0.25">
      <c r="A371" t="s">
        <v>2510</v>
      </c>
      <c r="B371">
        <v>153</v>
      </c>
      <c r="C371">
        <v>0.22010355000000001</v>
      </c>
      <c r="D371">
        <v>1.0936083000000001</v>
      </c>
      <c r="E371">
        <v>0.265625</v>
      </c>
      <c r="F371">
        <v>0.64420277000000004</v>
      </c>
      <c r="G371">
        <v>1</v>
      </c>
      <c r="H371">
        <v>3326</v>
      </c>
      <c r="I371" t="s">
        <v>2511</v>
      </c>
      <c r="M371" s="227" t="s">
        <v>2510</v>
      </c>
      <c r="N371" s="227">
        <v>153</v>
      </c>
      <c r="O371" s="227">
        <v>0.22010355000000001</v>
      </c>
      <c r="P371" s="227">
        <v>1.0936083000000001</v>
      </c>
      <c r="Q371" s="227">
        <v>0.265625</v>
      </c>
      <c r="R371" s="227">
        <v>0.64420277000000004</v>
      </c>
      <c r="S371" s="227">
        <v>1</v>
      </c>
      <c r="T371" s="227">
        <v>3326</v>
      </c>
      <c r="U371" s="227" t="s">
        <v>2511</v>
      </c>
    </row>
    <row r="372" spans="1:21" x14ac:dyDescent="0.25">
      <c r="A372" t="s">
        <v>2512</v>
      </c>
      <c r="B372">
        <v>17</v>
      </c>
      <c r="C372">
        <v>0.36267690000000002</v>
      </c>
      <c r="D372">
        <v>1.0920993999999999</v>
      </c>
      <c r="E372">
        <v>0.35445544000000001</v>
      </c>
      <c r="F372">
        <v>0.64572229999999997</v>
      </c>
      <c r="G372">
        <v>1</v>
      </c>
      <c r="H372">
        <v>4035</v>
      </c>
      <c r="I372" t="s">
        <v>2513</v>
      </c>
      <c r="M372" s="227" t="s">
        <v>2512</v>
      </c>
      <c r="N372" s="227">
        <v>17</v>
      </c>
      <c r="O372" s="227">
        <v>0.36267690000000002</v>
      </c>
      <c r="P372" s="227">
        <v>1.0920993999999999</v>
      </c>
      <c r="Q372" s="227">
        <v>0.35445544000000001</v>
      </c>
      <c r="R372" s="227">
        <v>0.64572229999999997</v>
      </c>
      <c r="S372" s="227">
        <v>1</v>
      </c>
      <c r="T372" s="227">
        <v>4035</v>
      </c>
      <c r="U372" s="227" t="s">
        <v>2513</v>
      </c>
    </row>
    <row r="373" spans="1:21" x14ac:dyDescent="0.25">
      <c r="A373" t="s">
        <v>2514</v>
      </c>
      <c r="B373">
        <v>63</v>
      </c>
      <c r="C373">
        <v>0.27832810000000002</v>
      </c>
      <c r="D373">
        <v>1.0912740000000001</v>
      </c>
      <c r="E373">
        <v>0.31456309999999998</v>
      </c>
      <c r="F373">
        <v>0.64581670000000002</v>
      </c>
      <c r="G373">
        <v>1</v>
      </c>
      <c r="H373">
        <v>5760</v>
      </c>
      <c r="I373" t="s">
        <v>2515</v>
      </c>
      <c r="M373" s="227" t="s">
        <v>2514</v>
      </c>
      <c r="N373" s="227">
        <v>63</v>
      </c>
      <c r="O373" s="227">
        <v>0.27832810000000002</v>
      </c>
      <c r="P373" s="227">
        <v>1.0912740000000001</v>
      </c>
      <c r="Q373" s="227">
        <v>0.31456309999999998</v>
      </c>
      <c r="R373" s="227">
        <v>0.64581670000000002</v>
      </c>
      <c r="S373" s="227">
        <v>1</v>
      </c>
      <c r="T373" s="227">
        <v>5760</v>
      </c>
      <c r="U373" s="227" t="s">
        <v>2515</v>
      </c>
    </row>
    <row r="374" spans="1:21" x14ac:dyDescent="0.25">
      <c r="A374" t="s">
        <v>2516</v>
      </c>
      <c r="B374">
        <v>239</v>
      </c>
      <c r="C374">
        <v>0.32486490000000001</v>
      </c>
      <c r="D374">
        <v>1.0896944</v>
      </c>
      <c r="E374">
        <v>0.34501844999999998</v>
      </c>
      <c r="F374">
        <v>0.64759964000000003</v>
      </c>
      <c r="G374">
        <v>1</v>
      </c>
      <c r="H374">
        <v>6454</v>
      </c>
      <c r="I374" t="s">
        <v>2517</v>
      </c>
      <c r="M374" s="227" t="s">
        <v>2516</v>
      </c>
      <c r="N374" s="227">
        <v>239</v>
      </c>
      <c r="O374" s="227">
        <v>0.32486490000000001</v>
      </c>
      <c r="P374" s="227">
        <v>1.0896944</v>
      </c>
      <c r="Q374" s="227">
        <v>0.34501844999999998</v>
      </c>
      <c r="R374" s="227">
        <v>0.64759964000000003</v>
      </c>
      <c r="S374" s="227">
        <v>1</v>
      </c>
      <c r="T374" s="227">
        <v>6454</v>
      </c>
      <c r="U374" s="227" t="s">
        <v>2517</v>
      </c>
    </row>
    <row r="375" spans="1:21" x14ac:dyDescent="0.25">
      <c r="A375" t="s">
        <v>2518</v>
      </c>
      <c r="B375">
        <v>316</v>
      </c>
      <c r="C375">
        <v>0.24682646999999999</v>
      </c>
      <c r="D375">
        <v>1.0862776000000001</v>
      </c>
      <c r="E375">
        <v>0.30905860000000002</v>
      </c>
      <c r="F375">
        <v>0.65366519999999995</v>
      </c>
      <c r="G375">
        <v>1</v>
      </c>
      <c r="H375">
        <v>5514</v>
      </c>
      <c r="I375" t="s">
        <v>2373</v>
      </c>
      <c r="M375" s="227" t="s">
        <v>2518</v>
      </c>
      <c r="N375" s="227">
        <v>316</v>
      </c>
      <c r="O375" s="227">
        <v>0.24682646999999999</v>
      </c>
      <c r="P375" s="227">
        <v>1.0862776000000001</v>
      </c>
      <c r="Q375" s="227">
        <v>0.30905860000000002</v>
      </c>
      <c r="R375" s="227">
        <v>0.65366519999999995</v>
      </c>
      <c r="S375" s="227">
        <v>1</v>
      </c>
      <c r="T375" s="227">
        <v>5514</v>
      </c>
      <c r="U375" s="227" t="s">
        <v>2373</v>
      </c>
    </row>
    <row r="376" spans="1:21" x14ac:dyDescent="0.25">
      <c r="A376" t="s">
        <v>2519</v>
      </c>
      <c r="B376">
        <v>304</v>
      </c>
      <c r="C376">
        <v>0.22311792999999999</v>
      </c>
      <c r="D376">
        <v>1.0861875000000001</v>
      </c>
      <c r="E376">
        <v>0.28355386999999999</v>
      </c>
      <c r="F376">
        <v>0.65213310000000002</v>
      </c>
      <c r="G376">
        <v>1</v>
      </c>
      <c r="H376">
        <v>5960</v>
      </c>
      <c r="I376" t="s">
        <v>2520</v>
      </c>
      <c r="M376" s="227" t="s">
        <v>2519</v>
      </c>
      <c r="N376" s="227">
        <v>304</v>
      </c>
      <c r="O376" s="227">
        <v>0.22311792999999999</v>
      </c>
      <c r="P376" s="227">
        <v>1.0861875000000001</v>
      </c>
      <c r="Q376" s="227">
        <v>0.28355386999999999</v>
      </c>
      <c r="R376" s="227">
        <v>0.65213310000000002</v>
      </c>
      <c r="S376" s="227">
        <v>1</v>
      </c>
      <c r="T376" s="227">
        <v>5960</v>
      </c>
      <c r="U376" s="227" t="s">
        <v>2520</v>
      </c>
    </row>
    <row r="377" spans="1:21" x14ac:dyDescent="0.25">
      <c r="A377" t="s">
        <v>2521</v>
      </c>
      <c r="B377">
        <v>223</v>
      </c>
      <c r="C377">
        <v>0.21475346000000001</v>
      </c>
      <c r="D377">
        <v>1.0854028</v>
      </c>
      <c r="E377">
        <v>0.27380951999999997</v>
      </c>
      <c r="F377">
        <v>0.65216750000000001</v>
      </c>
      <c r="G377">
        <v>1</v>
      </c>
      <c r="H377">
        <v>5360</v>
      </c>
      <c r="I377" t="s">
        <v>2522</v>
      </c>
      <c r="M377" s="227" t="s">
        <v>2521</v>
      </c>
      <c r="N377" s="227">
        <v>223</v>
      </c>
      <c r="O377" s="227">
        <v>0.21475346000000001</v>
      </c>
      <c r="P377" s="227">
        <v>1.0854028</v>
      </c>
      <c r="Q377" s="227">
        <v>0.27380951999999997</v>
      </c>
      <c r="R377" s="227">
        <v>0.65216750000000001</v>
      </c>
      <c r="S377" s="227">
        <v>1</v>
      </c>
      <c r="T377" s="227">
        <v>5360</v>
      </c>
      <c r="U377" s="227" t="s">
        <v>2522</v>
      </c>
    </row>
    <row r="378" spans="1:21" x14ac:dyDescent="0.25">
      <c r="A378" t="s">
        <v>2523</v>
      </c>
      <c r="B378">
        <v>23</v>
      </c>
      <c r="C378">
        <v>0.34417364</v>
      </c>
      <c r="D378">
        <v>1.0849385</v>
      </c>
      <c r="E378">
        <v>0.36672968</v>
      </c>
      <c r="F378">
        <v>0.65157310000000002</v>
      </c>
      <c r="G378">
        <v>1</v>
      </c>
      <c r="H378">
        <v>3458</v>
      </c>
      <c r="I378" t="s">
        <v>2110</v>
      </c>
      <c r="M378" s="227" t="s">
        <v>2523</v>
      </c>
      <c r="N378" s="227">
        <v>23</v>
      </c>
      <c r="O378" s="227">
        <v>0.34417364</v>
      </c>
      <c r="P378" s="227">
        <v>1.0849385</v>
      </c>
      <c r="Q378" s="227">
        <v>0.36672968</v>
      </c>
      <c r="R378" s="227">
        <v>0.65157310000000002</v>
      </c>
      <c r="S378" s="227">
        <v>1</v>
      </c>
      <c r="T378" s="227">
        <v>3458</v>
      </c>
      <c r="U378" s="227" t="s">
        <v>2110</v>
      </c>
    </row>
    <row r="379" spans="1:21" x14ac:dyDescent="0.25">
      <c r="A379" t="s">
        <v>2524</v>
      </c>
      <c r="B379">
        <v>17</v>
      </c>
      <c r="C379">
        <v>0.33719631999999999</v>
      </c>
      <c r="D379">
        <v>1.0845461000000001</v>
      </c>
      <c r="E379">
        <v>0.32553607000000001</v>
      </c>
      <c r="F379">
        <v>0.65066283999999996</v>
      </c>
      <c r="G379">
        <v>1</v>
      </c>
      <c r="H379">
        <v>6225</v>
      </c>
      <c r="I379" t="s">
        <v>2485</v>
      </c>
      <c r="M379" s="227" t="s">
        <v>2524</v>
      </c>
      <c r="N379" s="227">
        <v>17</v>
      </c>
      <c r="O379" s="227">
        <v>0.33719631999999999</v>
      </c>
      <c r="P379" s="227">
        <v>1.0845461000000001</v>
      </c>
      <c r="Q379" s="227">
        <v>0.32553607000000001</v>
      </c>
      <c r="R379" s="227">
        <v>0.65066283999999996</v>
      </c>
      <c r="S379" s="227">
        <v>1</v>
      </c>
      <c r="T379" s="227">
        <v>6225</v>
      </c>
      <c r="U379" s="227" t="s">
        <v>2485</v>
      </c>
    </row>
    <row r="380" spans="1:21" x14ac:dyDescent="0.25">
      <c r="A380" t="s">
        <v>2525</v>
      </c>
      <c r="B380">
        <v>33</v>
      </c>
      <c r="C380">
        <v>0.41650024000000002</v>
      </c>
      <c r="D380">
        <v>1.0829662</v>
      </c>
      <c r="E380">
        <v>0.39372823000000001</v>
      </c>
      <c r="F380">
        <v>0.65238649999999998</v>
      </c>
      <c r="G380">
        <v>1</v>
      </c>
      <c r="H380">
        <v>6378</v>
      </c>
      <c r="I380" t="s">
        <v>2526</v>
      </c>
      <c r="M380" s="227" t="s">
        <v>2525</v>
      </c>
      <c r="N380" s="227">
        <v>33</v>
      </c>
      <c r="O380" s="227">
        <v>0.41650024000000002</v>
      </c>
      <c r="P380" s="227">
        <v>1.0829662</v>
      </c>
      <c r="Q380" s="227">
        <v>0.39372823000000001</v>
      </c>
      <c r="R380" s="227">
        <v>0.65238649999999998</v>
      </c>
      <c r="S380" s="227">
        <v>1</v>
      </c>
      <c r="T380" s="227">
        <v>6378</v>
      </c>
      <c r="U380" s="227" t="s">
        <v>2526</v>
      </c>
    </row>
    <row r="381" spans="1:21" x14ac:dyDescent="0.25">
      <c r="A381" t="s">
        <v>2527</v>
      </c>
      <c r="B381">
        <v>78</v>
      </c>
      <c r="C381">
        <v>0.29961290000000002</v>
      </c>
      <c r="D381">
        <v>1.0828260999999999</v>
      </c>
      <c r="E381">
        <v>0.35925924999999997</v>
      </c>
      <c r="F381">
        <v>0.65097899999999997</v>
      </c>
      <c r="G381">
        <v>1</v>
      </c>
      <c r="H381">
        <v>7471</v>
      </c>
      <c r="I381" t="s">
        <v>2528</v>
      </c>
      <c r="M381" s="227" t="s">
        <v>2527</v>
      </c>
      <c r="N381" s="227">
        <v>78</v>
      </c>
      <c r="O381" s="227">
        <v>0.29961290000000002</v>
      </c>
      <c r="P381" s="227">
        <v>1.0828260999999999</v>
      </c>
      <c r="Q381" s="227">
        <v>0.35925924999999997</v>
      </c>
      <c r="R381" s="227">
        <v>0.65097899999999997</v>
      </c>
      <c r="S381" s="227">
        <v>1</v>
      </c>
      <c r="T381" s="227">
        <v>7471</v>
      </c>
      <c r="U381" s="227" t="s">
        <v>2528</v>
      </c>
    </row>
    <row r="382" spans="1:21" x14ac:dyDescent="0.25">
      <c r="A382" t="s">
        <v>2529</v>
      </c>
      <c r="B382">
        <v>58</v>
      </c>
      <c r="C382">
        <v>0.33594545999999997</v>
      </c>
      <c r="D382">
        <v>1.0827106</v>
      </c>
      <c r="E382">
        <v>0.39453125</v>
      </c>
      <c r="F382">
        <v>0.64946329999999997</v>
      </c>
      <c r="G382">
        <v>1</v>
      </c>
      <c r="H382">
        <v>5632</v>
      </c>
      <c r="I382" t="s">
        <v>2530</v>
      </c>
      <c r="M382" s="227" t="s">
        <v>2529</v>
      </c>
      <c r="N382" s="227">
        <v>58</v>
      </c>
      <c r="O382" s="227">
        <v>0.33594545999999997</v>
      </c>
      <c r="P382" s="227">
        <v>1.0827106</v>
      </c>
      <c r="Q382" s="227">
        <v>0.39453125</v>
      </c>
      <c r="R382" s="227">
        <v>0.64946329999999997</v>
      </c>
      <c r="S382" s="227">
        <v>1</v>
      </c>
      <c r="T382" s="227">
        <v>5632</v>
      </c>
      <c r="U382" s="227" t="s">
        <v>2530</v>
      </c>
    </row>
    <row r="383" spans="1:21" x14ac:dyDescent="0.25">
      <c r="A383" t="s">
        <v>2531</v>
      </c>
      <c r="B383">
        <v>43</v>
      </c>
      <c r="C383">
        <v>0.32588004999999998</v>
      </c>
      <c r="D383">
        <v>1.0825378000000001</v>
      </c>
      <c r="E383">
        <v>0.35009309999999999</v>
      </c>
      <c r="F383">
        <v>0.64822009999999997</v>
      </c>
      <c r="G383">
        <v>1</v>
      </c>
      <c r="H383">
        <v>6603</v>
      </c>
      <c r="I383" t="s">
        <v>2532</v>
      </c>
      <c r="M383" s="227" t="s">
        <v>2531</v>
      </c>
      <c r="N383" s="227">
        <v>43</v>
      </c>
      <c r="O383" s="227">
        <v>0.32588004999999998</v>
      </c>
      <c r="P383" s="227">
        <v>1.0825378000000001</v>
      </c>
      <c r="Q383" s="227">
        <v>0.35009309999999999</v>
      </c>
      <c r="R383" s="227">
        <v>0.64822009999999997</v>
      </c>
      <c r="S383" s="227">
        <v>1</v>
      </c>
      <c r="T383" s="227">
        <v>6603</v>
      </c>
      <c r="U383" s="227" t="s">
        <v>2532</v>
      </c>
    </row>
    <row r="384" spans="1:21" x14ac:dyDescent="0.25">
      <c r="A384" t="s">
        <v>2533</v>
      </c>
      <c r="B384">
        <v>473</v>
      </c>
      <c r="C384">
        <v>0.23752129999999999</v>
      </c>
      <c r="D384">
        <v>1.0823171</v>
      </c>
      <c r="E384">
        <v>0.34839924999999999</v>
      </c>
      <c r="F384">
        <v>0.64705029999999997</v>
      </c>
      <c r="G384">
        <v>1</v>
      </c>
      <c r="H384">
        <v>6418</v>
      </c>
      <c r="I384" t="s">
        <v>2534</v>
      </c>
      <c r="M384" s="227" t="s">
        <v>2533</v>
      </c>
      <c r="N384" s="227">
        <v>473</v>
      </c>
      <c r="O384" s="227">
        <v>0.23752129999999999</v>
      </c>
      <c r="P384" s="227">
        <v>1.0823171</v>
      </c>
      <c r="Q384" s="227">
        <v>0.34839924999999999</v>
      </c>
      <c r="R384" s="227">
        <v>0.64705029999999997</v>
      </c>
      <c r="S384" s="227">
        <v>1</v>
      </c>
      <c r="T384" s="227">
        <v>6418</v>
      </c>
      <c r="U384" s="227" t="s">
        <v>2534</v>
      </c>
    </row>
    <row r="385" spans="1:21" x14ac:dyDescent="0.25">
      <c r="A385" t="s">
        <v>2535</v>
      </c>
      <c r="B385">
        <v>88</v>
      </c>
      <c r="C385">
        <v>0.26479447</v>
      </c>
      <c r="D385">
        <v>1.0815752999999999</v>
      </c>
      <c r="E385">
        <v>0.32514179999999998</v>
      </c>
      <c r="F385">
        <v>0.64682439999999997</v>
      </c>
      <c r="G385">
        <v>1</v>
      </c>
      <c r="H385">
        <v>5779</v>
      </c>
      <c r="I385" t="s">
        <v>2350</v>
      </c>
      <c r="M385" s="227" t="s">
        <v>2535</v>
      </c>
      <c r="N385" s="227">
        <v>88</v>
      </c>
      <c r="O385" s="227">
        <v>0.26479447</v>
      </c>
      <c r="P385" s="227">
        <v>1.0815752999999999</v>
      </c>
      <c r="Q385" s="227">
        <v>0.32514179999999998</v>
      </c>
      <c r="R385" s="227">
        <v>0.64682439999999997</v>
      </c>
      <c r="S385" s="227">
        <v>1</v>
      </c>
      <c r="T385" s="227">
        <v>5779</v>
      </c>
      <c r="U385" s="227" t="s">
        <v>2350</v>
      </c>
    </row>
    <row r="386" spans="1:21" x14ac:dyDescent="0.25">
      <c r="A386" t="s">
        <v>2536</v>
      </c>
      <c r="B386">
        <v>61</v>
      </c>
      <c r="C386">
        <v>0.26414873999999999</v>
      </c>
      <c r="D386">
        <v>1.0805397000000001</v>
      </c>
      <c r="E386">
        <v>0.31558936999999998</v>
      </c>
      <c r="F386">
        <v>0.64752469999999995</v>
      </c>
      <c r="G386">
        <v>1</v>
      </c>
      <c r="H386">
        <v>4739</v>
      </c>
      <c r="I386" t="s">
        <v>2355</v>
      </c>
      <c r="M386" s="227" t="s">
        <v>2536</v>
      </c>
      <c r="N386" s="227">
        <v>61</v>
      </c>
      <c r="O386" s="227">
        <v>0.26414873999999999</v>
      </c>
      <c r="P386" s="227">
        <v>1.0805397000000001</v>
      </c>
      <c r="Q386" s="227">
        <v>0.31558936999999998</v>
      </c>
      <c r="R386" s="227">
        <v>0.64752469999999995</v>
      </c>
      <c r="S386" s="227">
        <v>1</v>
      </c>
      <c r="T386" s="227">
        <v>4739</v>
      </c>
      <c r="U386" s="227" t="s">
        <v>2355</v>
      </c>
    </row>
    <row r="387" spans="1:21" x14ac:dyDescent="0.25">
      <c r="A387" t="s">
        <v>2537</v>
      </c>
      <c r="B387">
        <v>70</v>
      </c>
      <c r="C387">
        <v>0.27089005999999999</v>
      </c>
      <c r="D387">
        <v>1.0804467</v>
      </c>
      <c r="E387">
        <v>0.36470590000000003</v>
      </c>
      <c r="F387">
        <v>0.64605975000000004</v>
      </c>
      <c r="G387">
        <v>1</v>
      </c>
      <c r="H387">
        <v>3283</v>
      </c>
      <c r="I387" t="s">
        <v>2538</v>
      </c>
      <c r="M387" s="227" t="s">
        <v>2537</v>
      </c>
      <c r="N387" s="227">
        <v>70</v>
      </c>
      <c r="O387" s="227">
        <v>0.27089005999999999</v>
      </c>
      <c r="P387" s="227">
        <v>1.0804467</v>
      </c>
      <c r="Q387" s="227">
        <v>0.36470590000000003</v>
      </c>
      <c r="R387" s="227">
        <v>0.64605975000000004</v>
      </c>
      <c r="S387" s="227">
        <v>1</v>
      </c>
      <c r="T387" s="227">
        <v>3283</v>
      </c>
      <c r="U387" s="227" t="s">
        <v>2538</v>
      </c>
    </row>
    <row r="388" spans="1:21" x14ac:dyDescent="0.25">
      <c r="A388" t="s">
        <v>2539</v>
      </c>
      <c r="B388">
        <v>56</v>
      </c>
      <c r="C388">
        <v>0.30849808000000001</v>
      </c>
      <c r="D388">
        <v>1.0797082</v>
      </c>
      <c r="E388">
        <v>0.36226416</v>
      </c>
      <c r="F388">
        <v>0.64587830000000002</v>
      </c>
      <c r="G388">
        <v>1</v>
      </c>
      <c r="H388">
        <v>7471</v>
      </c>
      <c r="I388" t="s">
        <v>2540</v>
      </c>
      <c r="M388" s="227" t="s">
        <v>2539</v>
      </c>
      <c r="N388" s="227">
        <v>56</v>
      </c>
      <c r="O388" s="227">
        <v>0.30849808000000001</v>
      </c>
      <c r="P388" s="227">
        <v>1.0797082</v>
      </c>
      <c r="Q388" s="227">
        <v>0.36226416</v>
      </c>
      <c r="R388" s="227">
        <v>0.64587830000000002</v>
      </c>
      <c r="S388" s="227">
        <v>1</v>
      </c>
      <c r="T388" s="227">
        <v>7471</v>
      </c>
      <c r="U388" s="227" t="s">
        <v>2540</v>
      </c>
    </row>
    <row r="389" spans="1:21" x14ac:dyDescent="0.25">
      <c r="A389" t="s">
        <v>2541</v>
      </c>
      <c r="B389">
        <v>43</v>
      </c>
      <c r="C389">
        <v>0.28465374999999998</v>
      </c>
      <c r="D389">
        <v>1.0791626999999999</v>
      </c>
      <c r="E389">
        <v>0.33823530000000002</v>
      </c>
      <c r="F389">
        <v>0.64541422999999998</v>
      </c>
      <c r="G389">
        <v>1</v>
      </c>
      <c r="H389">
        <v>4360</v>
      </c>
      <c r="I389" t="s">
        <v>2348</v>
      </c>
      <c r="M389" s="227" t="s">
        <v>2541</v>
      </c>
      <c r="N389" s="227">
        <v>43</v>
      </c>
      <c r="O389" s="227">
        <v>0.28465374999999998</v>
      </c>
      <c r="P389" s="227">
        <v>1.0791626999999999</v>
      </c>
      <c r="Q389" s="227">
        <v>0.33823530000000002</v>
      </c>
      <c r="R389" s="227">
        <v>0.64541422999999998</v>
      </c>
      <c r="S389" s="227">
        <v>1</v>
      </c>
      <c r="T389" s="227">
        <v>4360</v>
      </c>
      <c r="U389" s="227" t="s">
        <v>2348</v>
      </c>
    </row>
    <row r="390" spans="1:21" x14ac:dyDescent="0.25">
      <c r="A390" t="s">
        <v>2542</v>
      </c>
      <c r="B390">
        <v>75</v>
      </c>
      <c r="C390">
        <v>0.27967714999999999</v>
      </c>
      <c r="D390">
        <v>1.0776504</v>
      </c>
      <c r="E390">
        <v>0.31627055999999998</v>
      </c>
      <c r="F390">
        <v>0.64693694999999996</v>
      </c>
      <c r="G390">
        <v>1</v>
      </c>
      <c r="H390">
        <v>5195</v>
      </c>
      <c r="I390" t="s">
        <v>2543</v>
      </c>
      <c r="M390" s="227" t="s">
        <v>2542</v>
      </c>
      <c r="N390" s="227">
        <v>75</v>
      </c>
      <c r="O390" s="227">
        <v>0.27967714999999999</v>
      </c>
      <c r="P390" s="227">
        <v>1.0776504</v>
      </c>
      <c r="Q390" s="227">
        <v>0.31627055999999998</v>
      </c>
      <c r="R390" s="227">
        <v>0.64693694999999996</v>
      </c>
      <c r="S390" s="227">
        <v>1</v>
      </c>
      <c r="T390" s="227">
        <v>5195</v>
      </c>
      <c r="U390" s="227" t="s">
        <v>2543</v>
      </c>
    </row>
    <row r="391" spans="1:21" x14ac:dyDescent="0.25">
      <c r="A391" t="s">
        <v>2544</v>
      </c>
      <c r="B391">
        <v>35</v>
      </c>
      <c r="C391">
        <v>0.27774367</v>
      </c>
      <c r="D391">
        <v>1.0753615000000001</v>
      </c>
      <c r="E391">
        <v>0.36068702000000002</v>
      </c>
      <c r="F391">
        <v>0.65024435999999997</v>
      </c>
      <c r="G391">
        <v>1</v>
      </c>
      <c r="H391">
        <v>1739</v>
      </c>
      <c r="I391" t="s">
        <v>2545</v>
      </c>
      <c r="M391" s="227" t="s">
        <v>2544</v>
      </c>
      <c r="N391" s="227">
        <v>35</v>
      </c>
      <c r="O391" s="227">
        <v>0.27774367</v>
      </c>
      <c r="P391" s="227">
        <v>1.0753615000000001</v>
      </c>
      <c r="Q391" s="227">
        <v>0.36068702000000002</v>
      </c>
      <c r="R391" s="227">
        <v>0.65024435999999997</v>
      </c>
      <c r="S391" s="227">
        <v>1</v>
      </c>
      <c r="T391" s="227">
        <v>1739</v>
      </c>
      <c r="U391" s="227" t="s">
        <v>2545</v>
      </c>
    </row>
    <row r="392" spans="1:21" x14ac:dyDescent="0.25">
      <c r="A392" t="s">
        <v>2546</v>
      </c>
      <c r="B392">
        <v>21</v>
      </c>
      <c r="C392">
        <v>0.36921382000000003</v>
      </c>
      <c r="D392">
        <v>1.0735599</v>
      </c>
      <c r="E392">
        <v>0.38294010000000001</v>
      </c>
      <c r="F392">
        <v>0.65256099999999995</v>
      </c>
      <c r="G392">
        <v>1</v>
      </c>
      <c r="H392">
        <v>6603</v>
      </c>
      <c r="I392" t="s">
        <v>2399</v>
      </c>
      <c r="M392" s="227" t="s">
        <v>2546</v>
      </c>
      <c r="N392" s="227">
        <v>21</v>
      </c>
      <c r="O392" s="227">
        <v>0.36921382000000003</v>
      </c>
      <c r="P392" s="227">
        <v>1.0735599</v>
      </c>
      <c r="Q392" s="227">
        <v>0.38294010000000001</v>
      </c>
      <c r="R392" s="227">
        <v>0.65256099999999995</v>
      </c>
      <c r="S392" s="227">
        <v>1</v>
      </c>
      <c r="T392" s="227">
        <v>6603</v>
      </c>
      <c r="U392" s="227" t="s">
        <v>2399</v>
      </c>
    </row>
    <row r="393" spans="1:21" x14ac:dyDescent="0.25">
      <c r="A393" t="s">
        <v>2547</v>
      </c>
      <c r="B393">
        <v>15</v>
      </c>
      <c r="C393">
        <v>0.40403685</v>
      </c>
      <c r="D393">
        <v>1.0734763</v>
      </c>
      <c r="E393">
        <v>0.3868472</v>
      </c>
      <c r="F393">
        <v>0.65109134000000002</v>
      </c>
      <c r="G393">
        <v>1</v>
      </c>
      <c r="H393">
        <v>4055</v>
      </c>
      <c r="I393" t="s">
        <v>2548</v>
      </c>
      <c r="M393" s="227" t="s">
        <v>2547</v>
      </c>
      <c r="N393" s="227">
        <v>15</v>
      </c>
      <c r="O393" s="227">
        <v>0.40403685</v>
      </c>
      <c r="P393" s="227">
        <v>1.0734763</v>
      </c>
      <c r="Q393" s="227">
        <v>0.3868472</v>
      </c>
      <c r="R393" s="227">
        <v>0.65109134000000002</v>
      </c>
      <c r="S393" s="227">
        <v>1</v>
      </c>
      <c r="T393" s="227">
        <v>4055</v>
      </c>
      <c r="U393" s="227" t="s">
        <v>2548</v>
      </c>
    </row>
    <row r="394" spans="1:21" x14ac:dyDescent="0.25">
      <c r="A394" t="s">
        <v>2549</v>
      </c>
      <c r="B394">
        <v>17</v>
      </c>
      <c r="C394">
        <v>0.40142309999999998</v>
      </c>
      <c r="D394">
        <v>1.0722438999999999</v>
      </c>
      <c r="E394">
        <v>0.38224638</v>
      </c>
      <c r="F394">
        <v>0.65211580000000002</v>
      </c>
      <c r="G394">
        <v>1</v>
      </c>
      <c r="H394">
        <v>4694</v>
      </c>
      <c r="I394" t="s">
        <v>2367</v>
      </c>
      <c r="M394" s="227" t="s">
        <v>2549</v>
      </c>
      <c r="N394" s="227">
        <v>17</v>
      </c>
      <c r="O394" s="227">
        <v>0.40142309999999998</v>
      </c>
      <c r="P394" s="227">
        <v>1.0722438999999999</v>
      </c>
      <c r="Q394" s="227">
        <v>0.38224638</v>
      </c>
      <c r="R394" s="227">
        <v>0.65211580000000002</v>
      </c>
      <c r="S394" s="227">
        <v>1</v>
      </c>
      <c r="T394" s="227">
        <v>4694</v>
      </c>
      <c r="U394" s="227" t="s">
        <v>2367</v>
      </c>
    </row>
    <row r="395" spans="1:21" x14ac:dyDescent="0.25">
      <c r="A395" t="s">
        <v>2550</v>
      </c>
      <c r="B395">
        <v>53</v>
      </c>
      <c r="C395">
        <v>0.27374700000000002</v>
      </c>
      <c r="D395">
        <v>1.0716786</v>
      </c>
      <c r="E395">
        <v>0.34469696999999999</v>
      </c>
      <c r="F395">
        <v>0.65171480000000004</v>
      </c>
      <c r="G395">
        <v>1</v>
      </c>
      <c r="H395">
        <v>1622</v>
      </c>
      <c r="I395" t="s">
        <v>2551</v>
      </c>
      <c r="M395" s="227" t="s">
        <v>2550</v>
      </c>
      <c r="N395" s="227">
        <v>53</v>
      </c>
      <c r="O395" s="227">
        <v>0.27374700000000002</v>
      </c>
      <c r="P395" s="227">
        <v>1.0716786</v>
      </c>
      <c r="Q395" s="227">
        <v>0.34469696999999999</v>
      </c>
      <c r="R395" s="227">
        <v>0.65171480000000004</v>
      </c>
      <c r="S395" s="227">
        <v>1</v>
      </c>
      <c r="T395" s="227">
        <v>1622</v>
      </c>
      <c r="U395" s="227" t="s">
        <v>2551</v>
      </c>
    </row>
    <row r="396" spans="1:21" x14ac:dyDescent="0.25">
      <c r="A396" t="s">
        <v>2552</v>
      </c>
      <c r="B396">
        <v>68</v>
      </c>
      <c r="C396">
        <v>0.26405372999999999</v>
      </c>
      <c r="D396">
        <v>1.0709188000000001</v>
      </c>
      <c r="E396">
        <v>0.34343433000000001</v>
      </c>
      <c r="F396">
        <v>0.65159639999999996</v>
      </c>
      <c r="G396">
        <v>1</v>
      </c>
      <c r="H396">
        <v>4839</v>
      </c>
      <c r="I396" t="s">
        <v>2553</v>
      </c>
      <c r="M396" s="227" t="s">
        <v>2552</v>
      </c>
      <c r="N396" s="227">
        <v>68</v>
      </c>
      <c r="O396" s="227">
        <v>0.26405372999999999</v>
      </c>
      <c r="P396" s="227">
        <v>1.0709188000000001</v>
      </c>
      <c r="Q396" s="227">
        <v>0.34343433000000001</v>
      </c>
      <c r="R396" s="227">
        <v>0.65159639999999996</v>
      </c>
      <c r="S396" s="227">
        <v>1</v>
      </c>
      <c r="T396" s="227">
        <v>4839</v>
      </c>
      <c r="U396" s="227" t="s">
        <v>2553</v>
      </c>
    </row>
    <row r="397" spans="1:21" x14ac:dyDescent="0.25">
      <c r="A397" t="s">
        <v>2554</v>
      </c>
      <c r="B397">
        <v>17</v>
      </c>
      <c r="C397">
        <v>0.35011904999999999</v>
      </c>
      <c r="D397">
        <v>1.0700654999999999</v>
      </c>
      <c r="E397">
        <v>0.37236086000000002</v>
      </c>
      <c r="F397">
        <v>0.65177870000000004</v>
      </c>
      <c r="G397">
        <v>1</v>
      </c>
      <c r="H397">
        <v>2580</v>
      </c>
      <c r="I397" t="s">
        <v>2555</v>
      </c>
      <c r="M397" s="227" t="s">
        <v>2554</v>
      </c>
      <c r="N397" s="227">
        <v>17</v>
      </c>
      <c r="O397" s="227">
        <v>0.35011904999999999</v>
      </c>
      <c r="P397" s="227">
        <v>1.0700654999999999</v>
      </c>
      <c r="Q397" s="227">
        <v>0.37236086000000002</v>
      </c>
      <c r="R397" s="227">
        <v>0.65177870000000004</v>
      </c>
      <c r="S397" s="227">
        <v>1</v>
      </c>
      <c r="T397" s="227">
        <v>2580</v>
      </c>
      <c r="U397" s="227" t="s">
        <v>2555</v>
      </c>
    </row>
    <row r="398" spans="1:21" x14ac:dyDescent="0.25">
      <c r="A398" t="s">
        <v>2556</v>
      </c>
      <c r="B398">
        <v>62</v>
      </c>
      <c r="C398">
        <v>0.29116081999999999</v>
      </c>
      <c r="D398">
        <v>1.0692064999999999</v>
      </c>
      <c r="E398">
        <v>0.37449392999999997</v>
      </c>
      <c r="F398">
        <v>0.65218620000000005</v>
      </c>
      <c r="G398">
        <v>1</v>
      </c>
      <c r="H398">
        <v>7274</v>
      </c>
      <c r="I398" t="s">
        <v>2557</v>
      </c>
      <c r="M398" s="227" t="s">
        <v>2556</v>
      </c>
      <c r="N398" s="227">
        <v>62</v>
      </c>
      <c r="O398" s="227">
        <v>0.29116081999999999</v>
      </c>
      <c r="P398" s="227">
        <v>1.0692064999999999</v>
      </c>
      <c r="Q398" s="227">
        <v>0.37449392999999997</v>
      </c>
      <c r="R398" s="227">
        <v>0.65218620000000005</v>
      </c>
      <c r="S398" s="227">
        <v>1</v>
      </c>
      <c r="T398" s="227">
        <v>7274</v>
      </c>
      <c r="U398" s="227" t="s">
        <v>2557</v>
      </c>
    </row>
    <row r="399" spans="1:21" x14ac:dyDescent="0.25">
      <c r="A399" t="s">
        <v>2558</v>
      </c>
      <c r="B399">
        <v>40</v>
      </c>
      <c r="C399">
        <v>0.44782534000000002</v>
      </c>
      <c r="D399">
        <v>1.0653999999999999</v>
      </c>
      <c r="E399">
        <v>0.43620690000000001</v>
      </c>
      <c r="F399">
        <v>0.65906469999999995</v>
      </c>
      <c r="G399">
        <v>1</v>
      </c>
      <c r="H399">
        <v>5125</v>
      </c>
      <c r="I399" t="s">
        <v>2559</v>
      </c>
      <c r="M399" s="227" t="s">
        <v>2558</v>
      </c>
      <c r="N399" s="227">
        <v>40</v>
      </c>
      <c r="O399" s="227">
        <v>0.44782534000000002</v>
      </c>
      <c r="P399" s="227">
        <v>1.0653999999999999</v>
      </c>
      <c r="Q399" s="227">
        <v>0.43620690000000001</v>
      </c>
      <c r="R399" s="227">
        <v>0.65906469999999995</v>
      </c>
      <c r="S399" s="227">
        <v>1</v>
      </c>
      <c r="T399" s="227">
        <v>5125</v>
      </c>
      <c r="U399" s="227" t="s">
        <v>2559</v>
      </c>
    </row>
    <row r="400" spans="1:21" x14ac:dyDescent="0.25">
      <c r="A400" t="s">
        <v>2560</v>
      </c>
      <c r="B400">
        <v>23</v>
      </c>
      <c r="C400">
        <v>0.36900663</v>
      </c>
      <c r="D400">
        <v>1.0653722999999999</v>
      </c>
      <c r="E400">
        <v>0.40290383000000002</v>
      </c>
      <c r="F400">
        <v>0.65747683999999995</v>
      </c>
      <c r="G400">
        <v>1</v>
      </c>
      <c r="H400">
        <v>5404</v>
      </c>
      <c r="I400" t="s">
        <v>2561</v>
      </c>
      <c r="M400" s="227" t="s">
        <v>2560</v>
      </c>
      <c r="N400" s="227">
        <v>23</v>
      </c>
      <c r="O400" s="227">
        <v>0.36900663</v>
      </c>
      <c r="P400" s="227">
        <v>1.0653722999999999</v>
      </c>
      <c r="Q400" s="227">
        <v>0.40290383000000002</v>
      </c>
      <c r="R400" s="227">
        <v>0.65747683999999995</v>
      </c>
      <c r="S400" s="227">
        <v>1</v>
      </c>
      <c r="T400" s="227">
        <v>5404</v>
      </c>
      <c r="U400" s="227" t="s">
        <v>2561</v>
      </c>
    </row>
    <row r="401" spans="1:21" x14ac:dyDescent="0.25">
      <c r="A401" t="s">
        <v>2562</v>
      </c>
      <c r="B401">
        <v>38</v>
      </c>
      <c r="C401">
        <v>0.38619202000000002</v>
      </c>
      <c r="D401">
        <v>1.0617425</v>
      </c>
      <c r="E401">
        <v>0.41338584</v>
      </c>
      <c r="F401">
        <v>0.66421235000000001</v>
      </c>
      <c r="G401">
        <v>1</v>
      </c>
      <c r="H401">
        <v>5498</v>
      </c>
      <c r="I401" t="s">
        <v>2563</v>
      </c>
      <c r="M401" s="227" t="s">
        <v>2562</v>
      </c>
      <c r="N401" s="227">
        <v>38</v>
      </c>
      <c r="O401" s="227">
        <v>0.38619202000000002</v>
      </c>
      <c r="P401" s="227">
        <v>1.0617425</v>
      </c>
      <c r="Q401" s="227">
        <v>0.41338584</v>
      </c>
      <c r="R401" s="227">
        <v>0.66421235000000001</v>
      </c>
      <c r="S401" s="227">
        <v>1</v>
      </c>
      <c r="T401" s="227">
        <v>5498</v>
      </c>
      <c r="U401" s="227" t="s">
        <v>2563</v>
      </c>
    </row>
    <row r="402" spans="1:21" x14ac:dyDescent="0.25">
      <c r="A402" t="s">
        <v>2564</v>
      </c>
      <c r="B402">
        <v>36</v>
      </c>
      <c r="C402">
        <v>0.35697463000000001</v>
      </c>
      <c r="D402">
        <v>1.0589815</v>
      </c>
      <c r="E402">
        <v>0.38433516000000001</v>
      </c>
      <c r="F402">
        <v>0.66861079999999995</v>
      </c>
      <c r="G402">
        <v>1</v>
      </c>
      <c r="H402">
        <v>4500</v>
      </c>
      <c r="I402" t="s">
        <v>2565</v>
      </c>
      <c r="M402" s="227" t="s">
        <v>2564</v>
      </c>
      <c r="N402" s="227">
        <v>36</v>
      </c>
      <c r="O402" s="227">
        <v>0.35697463000000001</v>
      </c>
      <c r="P402" s="227">
        <v>1.0589815</v>
      </c>
      <c r="Q402" s="227">
        <v>0.38433516000000001</v>
      </c>
      <c r="R402" s="227">
        <v>0.66861079999999995</v>
      </c>
      <c r="S402" s="227">
        <v>1</v>
      </c>
      <c r="T402" s="227">
        <v>4500</v>
      </c>
      <c r="U402" s="227" t="s">
        <v>2565</v>
      </c>
    </row>
    <row r="403" spans="1:21" x14ac:dyDescent="0.25">
      <c r="A403" t="s">
        <v>2566</v>
      </c>
      <c r="B403">
        <v>22</v>
      </c>
      <c r="C403">
        <v>0.42489722000000002</v>
      </c>
      <c r="D403">
        <v>1.0587591999999999</v>
      </c>
      <c r="E403">
        <v>0.41366908000000002</v>
      </c>
      <c r="F403">
        <v>0.66744614000000002</v>
      </c>
      <c r="G403">
        <v>1</v>
      </c>
      <c r="H403">
        <v>6270</v>
      </c>
      <c r="I403" t="s">
        <v>2567</v>
      </c>
      <c r="M403" s="227" t="s">
        <v>2566</v>
      </c>
      <c r="N403" s="227">
        <v>22</v>
      </c>
      <c r="O403" s="227">
        <v>0.42489722000000002</v>
      </c>
      <c r="P403" s="227">
        <v>1.0587591999999999</v>
      </c>
      <c r="Q403" s="227">
        <v>0.41366908000000002</v>
      </c>
      <c r="R403" s="227">
        <v>0.66744614000000002</v>
      </c>
      <c r="S403" s="227">
        <v>1</v>
      </c>
      <c r="T403" s="227">
        <v>6270</v>
      </c>
      <c r="U403" s="227" t="s">
        <v>2567</v>
      </c>
    </row>
    <row r="404" spans="1:21" x14ac:dyDescent="0.25">
      <c r="A404" t="s">
        <v>2568</v>
      </c>
      <c r="B404">
        <v>17</v>
      </c>
      <c r="C404">
        <v>0.37395521999999998</v>
      </c>
      <c r="D404">
        <v>1.0564985</v>
      </c>
      <c r="E404">
        <v>0.39212005999999999</v>
      </c>
      <c r="F404">
        <v>0.67078316000000004</v>
      </c>
      <c r="G404">
        <v>1</v>
      </c>
      <c r="H404">
        <v>4691</v>
      </c>
      <c r="I404" t="s">
        <v>2357</v>
      </c>
      <c r="M404" s="227" t="s">
        <v>2568</v>
      </c>
      <c r="N404" s="227">
        <v>17</v>
      </c>
      <c r="O404" s="227">
        <v>0.37395521999999998</v>
      </c>
      <c r="P404" s="227">
        <v>1.0564985</v>
      </c>
      <c r="Q404" s="227">
        <v>0.39212005999999999</v>
      </c>
      <c r="R404" s="227">
        <v>0.67078316000000004</v>
      </c>
      <c r="S404" s="227">
        <v>1</v>
      </c>
      <c r="T404" s="227">
        <v>4691</v>
      </c>
      <c r="U404" s="227" t="s">
        <v>2357</v>
      </c>
    </row>
    <row r="405" spans="1:21" x14ac:dyDescent="0.25">
      <c r="A405" t="s">
        <v>2569</v>
      </c>
      <c r="B405">
        <v>216</v>
      </c>
      <c r="C405">
        <v>0.35205224000000002</v>
      </c>
      <c r="D405">
        <v>1.0550648</v>
      </c>
      <c r="E405">
        <v>0.44308229999999998</v>
      </c>
      <c r="F405">
        <v>0.67243549999999996</v>
      </c>
      <c r="G405">
        <v>1</v>
      </c>
      <c r="H405">
        <v>5363</v>
      </c>
      <c r="I405" t="s">
        <v>2570</v>
      </c>
      <c r="M405" s="227" t="s">
        <v>2569</v>
      </c>
      <c r="N405" s="227">
        <v>216</v>
      </c>
      <c r="O405" s="227">
        <v>0.35205224000000002</v>
      </c>
      <c r="P405" s="227">
        <v>1.0550648</v>
      </c>
      <c r="Q405" s="227">
        <v>0.44308229999999998</v>
      </c>
      <c r="R405" s="227">
        <v>0.67243549999999996</v>
      </c>
      <c r="S405" s="227">
        <v>1</v>
      </c>
      <c r="T405" s="227">
        <v>5363</v>
      </c>
      <c r="U405" s="227" t="s">
        <v>2570</v>
      </c>
    </row>
    <row r="406" spans="1:21" x14ac:dyDescent="0.25">
      <c r="A406" t="s">
        <v>2571</v>
      </c>
      <c r="B406">
        <v>16</v>
      </c>
      <c r="C406">
        <v>0.37785226</v>
      </c>
      <c r="D406">
        <v>1.0543513</v>
      </c>
      <c r="E406">
        <v>0.3747646</v>
      </c>
      <c r="F406">
        <v>0.67245597000000001</v>
      </c>
      <c r="G406">
        <v>1</v>
      </c>
      <c r="H406">
        <v>6376</v>
      </c>
      <c r="I406" t="s">
        <v>2375</v>
      </c>
      <c r="M406" s="227" t="s">
        <v>2571</v>
      </c>
      <c r="N406" s="227">
        <v>16</v>
      </c>
      <c r="O406" s="227">
        <v>0.37785226</v>
      </c>
      <c r="P406" s="227">
        <v>1.0543513</v>
      </c>
      <c r="Q406" s="227">
        <v>0.3747646</v>
      </c>
      <c r="R406" s="227">
        <v>0.67245597000000001</v>
      </c>
      <c r="S406" s="227">
        <v>1</v>
      </c>
      <c r="T406" s="227">
        <v>6376</v>
      </c>
      <c r="U406" s="227" t="s">
        <v>2375</v>
      </c>
    </row>
    <row r="407" spans="1:21" x14ac:dyDescent="0.25">
      <c r="A407" t="s">
        <v>1235</v>
      </c>
      <c r="B407">
        <v>66</v>
      </c>
      <c r="C407">
        <v>0.33108865999999998</v>
      </c>
      <c r="D407">
        <v>1.0530212000000001</v>
      </c>
      <c r="E407">
        <v>0.41960785</v>
      </c>
      <c r="F407">
        <v>0.67367743999999996</v>
      </c>
      <c r="G407">
        <v>1</v>
      </c>
      <c r="H407">
        <v>5155</v>
      </c>
      <c r="I407" t="s">
        <v>2572</v>
      </c>
      <c r="M407" s="227" t="s">
        <v>1235</v>
      </c>
      <c r="N407" s="227">
        <v>66</v>
      </c>
      <c r="O407" s="227">
        <v>0.33108865999999998</v>
      </c>
      <c r="P407" s="227">
        <v>1.0530212000000001</v>
      </c>
      <c r="Q407" s="227">
        <v>0.41960785</v>
      </c>
      <c r="R407" s="227">
        <v>0.67367743999999996</v>
      </c>
      <c r="S407" s="227">
        <v>1</v>
      </c>
      <c r="T407" s="227">
        <v>5155</v>
      </c>
      <c r="U407" s="227" t="s">
        <v>2572</v>
      </c>
    </row>
    <row r="408" spans="1:21" x14ac:dyDescent="0.25">
      <c r="A408" t="s">
        <v>2573</v>
      </c>
      <c r="B408">
        <v>26</v>
      </c>
      <c r="C408">
        <v>0.30924257999999999</v>
      </c>
      <c r="D408">
        <v>1.0480037</v>
      </c>
      <c r="E408">
        <v>0.40404040000000002</v>
      </c>
      <c r="F408">
        <v>0.68297059999999998</v>
      </c>
      <c r="G408">
        <v>1</v>
      </c>
      <c r="H408">
        <v>1604</v>
      </c>
      <c r="I408" t="s">
        <v>2551</v>
      </c>
      <c r="M408" s="227" t="s">
        <v>2573</v>
      </c>
      <c r="N408" s="227">
        <v>26</v>
      </c>
      <c r="O408" s="227">
        <v>0.30924257999999999</v>
      </c>
      <c r="P408" s="227">
        <v>1.0480037</v>
      </c>
      <c r="Q408" s="227">
        <v>0.40404040000000002</v>
      </c>
      <c r="R408" s="227">
        <v>0.68297059999999998</v>
      </c>
      <c r="S408" s="227">
        <v>1</v>
      </c>
      <c r="T408" s="227">
        <v>1604</v>
      </c>
      <c r="U408" s="227" t="s">
        <v>2551</v>
      </c>
    </row>
    <row r="409" spans="1:21" x14ac:dyDescent="0.25">
      <c r="A409" t="s">
        <v>2574</v>
      </c>
      <c r="B409">
        <v>77</v>
      </c>
      <c r="C409">
        <v>0.24688356</v>
      </c>
      <c r="D409">
        <v>1.0468044999999999</v>
      </c>
      <c r="E409">
        <v>0.37751003999999999</v>
      </c>
      <c r="F409">
        <v>0.68396825000000006</v>
      </c>
      <c r="G409">
        <v>1</v>
      </c>
      <c r="H409">
        <v>6384</v>
      </c>
      <c r="I409" t="s">
        <v>2534</v>
      </c>
      <c r="M409" s="227" t="s">
        <v>2574</v>
      </c>
      <c r="N409" s="227">
        <v>77</v>
      </c>
      <c r="O409" s="227">
        <v>0.24688356</v>
      </c>
      <c r="P409" s="227">
        <v>1.0468044999999999</v>
      </c>
      <c r="Q409" s="227">
        <v>0.37751003999999999</v>
      </c>
      <c r="R409" s="227">
        <v>0.68396825000000006</v>
      </c>
      <c r="S409" s="227">
        <v>1</v>
      </c>
      <c r="T409" s="227">
        <v>6384</v>
      </c>
      <c r="U409" s="227" t="s">
        <v>2534</v>
      </c>
    </row>
    <row r="410" spans="1:21" x14ac:dyDescent="0.25">
      <c r="A410" t="s">
        <v>2575</v>
      </c>
      <c r="B410">
        <v>36</v>
      </c>
      <c r="C410">
        <v>0.29119151999999998</v>
      </c>
      <c r="D410">
        <v>1.0459955999999999</v>
      </c>
      <c r="E410">
        <v>0.41132075000000001</v>
      </c>
      <c r="F410">
        <v>0.68413424</v>
      </c>
      <c r="G410">
        <v>1</v>
      </c>
      <c r="H410">
        <v>4796</v>
      </c>
      <c r="I410" t="s">
        <v>2378</v>
      </c>
      <c r="M410" s="227" t="s">
        <v>2575</v>
      </c>
      <c r="N410" s="227">
        <v>36</v>
      </c>
      <c r="O410" s="227">
        <v>0.29119151999999998</v>
      </c>
      <c r="P410" s="227">
        <v>1.0459955999999999</v>
      </c>
      <c r="Q410" s="227">
        <v>0.41132075000000001</v>
      </c>
      <c r="R410" s="227">
        <v>0.68413424</v>
      </c>
      <c r="S410" s="227">
        <v>1</v>
      </c>
      <c r="T410" s="227">
        <v>4796</v>
      </c>
      <c r="U410" s="227" t="s">
        <v>2378</v>
      </c>
    </row>
    <row r="411" spans="1:21" x14ac:dyDescent="0.25">
      <c r="A411" t="s">
        <v>2576</v>
      </c>
      <c r="B411">
        <v>55</v>
      </c>
      <c r="C411">
        <v>0.26305726000000001</v>
      </c>
      <c r="D411">
        <v>1.0456158</v>
      </c>
      <c r="E411">
        <v>0.38716355000000002</v>
      </c>
      <c r="F411">
        <v>0.68325937000000003</v>
      </c>
      <c r="G411">
        <v>1</v>
      </c>
      <c r="H411">
        <v>6378</v>
      </c>
      <c r="I411" t="s">
        <v>2577</v>
      </c>
      <c r="M411" s="227" t="s">
        <v>2576</v>
      </c>
      <c r="N411" s="227">
        <v>55</v>
      </c>
      <c r="O411" s="227">
        <v>0.26305726000000001</v>
      </c>
      <c r="P411" s="227">
        <v>1.0456158</v>
      </c>
      <c r="Q411" s="227">
        <v>0.38716355000000002</v>
      </c>
      <c r="R411" s="227">
        <v>0.68325937000000003</v>
      </c>
      <c r="S411" s="227">
        <v>1</v>
      </c>
      <c r="T411" s="227">
        <v>6378</v>
      </c>
      <c r="U411" s="227" t="s">
        <v>2577</v>
      </c>
    </row>
    <row r="412" spans="1:21" x14ac:dyDescent="0.25">
      <c r="A412" t="s">
        <v>2578</v>
      </c>
      <c r="B412">
        <v>193</v>
      </c>
      <c r="C412">
        <v>0.23312473</v>
      </c>
      <c r="D412">
        <v>1.0454853</v>
      </c>
      <c r="E412">
        <v>0.3697318</v>
      </c>
      <c r="F412">
        <v>0.68190055999999999</v>
      </c>
      <c r="G412">
        <v>1</v>
      </c>
      <c r="H412">
        <v>3674</v>
      </c>
      <c r="I412" t="s">
        <v>2347</v>
      </c>
      <c r="M412" s="227" t="s">
        <v>2578</v>
      </c>
      <c r="N412" s="227">
        <v>193</v>
      </c>
      <c r="O412" s="227">
        <v>0.23312473</v>
      </c>
      <c r="P412" s="227">
        <v>1.0454853</v>
      </c>
      <c r="Q412" s="227">
        <v>0.3697318</v>
      </c>
      <c r="R412" s="227">
        <v>0.68190055999999999</v>
      </c>
      <c r="S412" s="227">
        <v>1</v>
      </c>
      <c r="T412" s="227">
        <v>3674</v>
      </c>
      <c r="U412" s="227" t="s">
        <v>2347</v>
      </c>
    </row>
    <row r="413" spans="1:21" x14ac:dyDescent="0.25">
      <c r="A413" t="s">
        <v>2579</v>
      </c>
      <c r="B413">
        <v>26</v>
      </c>
      <c r="C413">
        <v>0.39657888000000002</v>
      </c>
      <c r="D413">
        <v>1.0442275000000001</v>
      </c>
      <c r="E413">
        <v>0.44604315999999999</v>
      </c>
      <c r="F413">
        <v>0.68303270000000005</v>
      </c>
      <c r="G413">
        <v>1</v>
      </c>
      <c r="H413">
        <v>4250</v>
      </c>
      <c r="I413" t="s">
        <v>2580</v>
      </c>
      <c r="M413" s="227" t="s">
        <v>2579</v>
      </c>
      <c r="N413" s="227">
        <v>26</v>
      </c>
      <c r="O413" s="227">
        <v>0.39657888000000002</v>
      </c>
      <c r="P413" s="227">
        <v>1.0442275000000001</v>
      </c>
      <c r="Q413" s="227">
        <v>0.44604315999999999</v>
      </c>
      <c r="R413" s="227">
        <v>0.68303270000000005</v>
      </c>
      <c r="S413" s="227">
        <v>1</v>
      </c>
      <c r="T413" s="227">
        <v>4250</v>
      </c>
      <c r="U413" s="227" t="s">
        <v>2580</v>
      </c>
    </row>
    <row r="414" spans="1:21" x14ac:dyDescent="0.25">
      <c r="A414" t="s">
        <v>2581</v>
      </c>
      <c r="B414">
        <v>19</v>
      </c>
      <c r="C414">
        <v>0.38744906000000001</v>
      </c>
      <c r="D414">
        <v>1.0438198999999999</v>
      </c>
      <c r="E414">
        <v>0.41544120000000001</v>
      </c>
      <c r="F414">
        <v>0.68236079999999999</v>
      </c>
      <c r="G414">
        <v>1</v>
      </c>
      <c r="H414">
        <v>5404</v>
      </c>
      <c r="I414" t="s">
        <v>2363</v>
      </c>
      <c r="M414" s="227" t="s">
        <v>2581</v>
      </c>
      <c r="N414" s="227">
        <v>19</v>
      </c>
      <c r="O414" s="227">
        <v>0.38744906000000001</v>
      </c>
      <c r="P414" s="227">
        <v>1.0438198999999999</v>
      </c>
      <c r="Q414" s="227">
        <v>0.41544120000000001</v>
      </c>
      <c r="R414" s="227">
        <v>0.68236079999999999</v>
      </c>
      <c r="S414" s="227">
        <v>1</v>
      </c>
      <c r="T414" s="227">
        <v>5404</v>
      </c>
      <c r="U414" s="227" t="s">
        <v>2363</v>
      </c>
    </row>
    <row r="415" spans="1:21" x14ac:dyDescent="0.25">
      <c r="A415" t="s">
        <v>2582</v>
      </c>
      <c r="B415">
        <v>17</v>
      </c>
      <c r="C415">
        <v>0.34185870000000002</v>
      </c>
      <c r="D415">
        <v>1.0437608</v>
      </c>
      <c r="E415">
        <v>0.40361446000000001</v>
      </c>
      <c r="F415">
        <v>0.68084157000000001</v>
      </c>
      <c r="G415">
        <v>1</v>
      </c>
      <c r="H415">
        <v>6097</v>
      </c>
      <c r="I415" t="s">
        <v>2369</v>
      </c>
      <c r="M415" s="227" t="s">
        <v>2582</v>
      </c>
      <c r="N415" s="227">
        <v>17</v>
      </c>
      <c r="O415" s="227">
        <v>0.34185870000000002</v>
      </c>
      <c r="P415" s="227">
        <v>1.0437608</v>
      </c>
      <c r="Q415" s="227">
        <v>0.40361446000000001</v>
      </c>
      <c r="R415" s="227">
        <v>0.68084157000000001</v>
      </c>
      <c r="S415" s="227">
        <v>1</v>
      </c>
      <c r="T415" s="227">
        <v>6097</v>
      </c>
      <c r="U415" s="227" t="s">
        <v>2369</v>
      </c>
    </row>
    <row r="416" spans="1:21" x14ac:dyDescent="0.25">
      <c r="A416" t="s">
        <v>2583</v>
      </c>
      <c r="B416">
        <v>29</v>
      </c>
      <c r="C416">
        <v>0.31767859999999998</v>
      </c>
      <c r="D416">
        <v>1.0435698</v>
      </c>
      <c r="E416">
        <v>0.37739465</v>
      </c>
      <c r="F416">
        <v>0.67965794000000002</v>
      </c>
      <c r="G416">
        <v>1</v>
      </c>
      <c r="H416">
        <v>7929</v>
      </c>
      <c r="I416" t="s">
        <v>2584</v>
      </c>
      <c r="M416" s="227" t="s">
        <v>2583</v>
      </c>
      <c r="N416" s="227">
        <v>29</v>
      </c>
      <c r="O416" s="227">
        <v>0.31767859999999998</v>
      </c>
      <c r="P416" s="227">
        <v>1.0435698</v>
      </c>
      <c r="Q416" s="227">
        <v>0.37739465</v>
      </c>
      <c r="R416" s="227">
        <v>0.67965794000000002</v>
      </c>
      <c r="S416" s="227">
        <v>1</v>
      </c>
      <c r="T416" s="227">
        <v>7929</v>
      </c>
      <c r="U416" s="227" t="s">
        <v>2584</v>
      </c>
    </row>
    <row r="417" spans="1:21" x14ac:dyDescent="0.25">
      <c r="A417" t="s">
        <v>2585</v>
      </c>
      <c r="B417">
        <v>16</v>
      </c>
      <c r="C417">
        <v>0.34876829999999998</v>
      </c>
      <c r="D417">
        <v>1.0393753999999999</v>
      </c>
      <c r="E417">
        <v>0.40690979999999999</v>
      </c>
      <c r="F417">
        <v>0.68753003999999995</v>
      </c>
      <c r="G417">
        <v>1</v>
      </c>
      <c r="H417">
        <v>3836</v>
      </c>
      <c r="I417" t="s">
        <v>2356</v>
      </c>
      <c r="M417" s="227" t="s">
        <v>2585</v>
      </c>
      <c r="N417" s="227">
        <v>16</v>
      </c>
      <c r="O417" s="227">
        <v>0.34876829999999998</v>
      </c>
      <c r="P417" s="227">
        <v>1.0393753999999999</v>
      </c>
      <c r="Q417" s="227">
        <v>0.40690979999999999</v>
      </c>
      <c r="R417" s="227">
        <v>0.68753003999999995</v>
      </c>
      <c r="S417" s="227">
        <v>1</v>
      </c>
      <c r="T417" s="227">
        <v>3836</v>
      </c>
      <c r="U417" s="227" t="s">
        <v>2356</v>
      </c>
    </row>
    <row r="418" spans="1:21" x14ac:dyDescent="0.25">
      <c r="A418" t="s">
        <v>2586</v>
      </c>
      <c r="B418">
        <v>145</v>
      </c>
      <c r="C418">
        <v>0.25434074000000001</v>
      </c>
      <c r="D418">
        <v>1.0367812999999999</v>
      </c>
      <c r="E418">
        <v>0.39357429999999999</v>
      </c>
      <c r="F418">
        <v>0.69132289999999996</v>
      </c>
      <c r="G418">
        <v>1</v>
      </c>
      <c r="H418">
        <v>5554</v>
      </c>
      <c r="I418" t="s">
        <v>2587</v>
      </c>
      <c r="M418" s="227" t="s">
        <v>2586</v>
      </c>
      <c r="N418" s="227">
        <v>145</v>
      </c>
      <c r="O418" s="227">
        <v>0.25434074000000001</v>
      </c>
      <c r="P418" s="227">
        <v>1.0367812999999999</v>
      </c>
      <c r="Q418" s="227">
        <v>0.39357429999999999</v>
      </c>
      <c r="R418" s="227">
        <v>0.69132289999999996</v>
      </c>
      <c r="S418" s="227">
        <v>1</v>
      </c>
      <c r="T418" s="227">
        <v>5554</v>
      </c>
      <c r="U418" s="227" t="s">
        <v>2587</v>
      </c>
    </row>
    <row r="419" spans="1:21" x14ac:dyDescent="0.25">
      <c r="A419" t="s">
        <v>2588</v>
      </c>
      <c r="B419">
        <v>92</v>
      </c>
      <c r="C419">
        <v>0.25969732000000001</v>
      </c>
      <c r="D419">
        <v>1.0366651</v>
      </c>
      <c r="E419">
        <v>0.40555554999999999</v>
      </c>
      <c r="F419">
        <v>0.6899168</v>
      </c>
      <c r="G419">
        <v>1</v>
      </c>
      <c r="H419">
        <v>3639</v>
      </c>
      <c r="I419" t="s">
        <v>2334</v>
      </c>
      <c r="M419" s="227" t="s">
        <v>2588</v>
      </c>
      <c r="N419" s="227">
        <v>92</v>
      </c>
      <c r="O419" s="227">
        <v>0.25969732000000001</v>
      </c>
      <c r="P419" s="227">
        <v>1.0366651</v>
      </c>
      <c r="Q419" s="227">
        <v>0.40555554999999999</v>
      </c>
      <c r="R419" s="227">
        <v>0.6899168</v>
      </c>
      <c r="S419" s="227">
        <v>1</v>
      </c>
      <c r="T419" s="227">
        <v>3639</v>
      </c>
      <c r="U419" s="227" t="s">
        <v>2334</v>
      </c>
    </row>
    <row r="420" spans="1:21" x14ac:dyDescent="0.25">
      <c r="A420" t="s">
        <v>2589</v>
      </c>
      <c r="B420">
        <v>15</v>
      </c>
      <c r="C420">
        <v>0.34327352</v>
      </c>
      <c r="D420">
        <v>1.0356786</v>
      </c>
      <c r="E420">
        <v>0.43133460000000001</v>
      </c>
      <c r="F420">
        <v>0.69041739999999996</v>
      </c>
      <c r="G420">
        <v>1</v>
      </c>
      <c r="H420">
        <v>2694</v>
      </c>
      <c r="I420" t="s">
        <v>2346</v>
      </c>
      <c r="M420" s="227" t="s">
        <v>2589</v>
      </c>
      <c r="N420" s="227">
        <v>15</v>
      </c>
      <c r="O420" s="227">
        <v>0.34327352</v>
      </c>
      <c r="P420" s="227">
        <v>1.0356786</v>
      </c>
      <c r="Q420" s="227">
        <v>0.43133460000000001</v>
      </c>
      <c r="R420" s="227">
        <v>0.69041739999999996</v>
      </c>
      <c r="S420" s="227">
        <v>1</v>
      </c>
      <c r="T420" s="227">
        <v>2694</v>
      </c>
      <c r="U420" s="227" t="s">
        <v>2346</v>
      </c>
    </row>
    <row r="421" spans="1:21" x14ac:dyDescent="0.25">
      <c r="A421" t="s">
        <v>2590</v>
      </c>
      <c r="B421">
        <v>25</v>
      </c>
      <c r="C421">
        <v>0.31520282999999999</v>
      </c>
      <c r="D421">
        <v>1.0354344</v>
      </c>
      <c r="E421">
        <v>0.39337474</v>
      </c>
      <c r="F421">
        <v>0.68933356000000001</v>
      </c>
      <c r="G421">
        <v>1</v>
      </c>
      <c r="H421">
        <v>1559</v>
      </c>
      <c r="I421" t="s">
        <v>2126</v>
      </c>
      <c r="M421" s="227" t="s">
        <v>2590</v>
      </c>
      <c r="N421" s="227">
        <v>25</v>
      </c>
      <c r="O421" s="227">
        <v>0.31520282999999999</v>
      </c>
      <c r="P421" s="227">
        <v>1.0354344</v>
      </c>
      <c r="Q421" s="227">
        <v>0.39337474</v>
      </c>
      <c r="R421" s="227">
        <v>0.68933356000000001</v>
      </c>
      <c r="S421" s="227">
        <v>1</v>
      </c>
      <c r="T421" s="227">
        <v>1559</v>
      </c>
      <c r="U421" s="227" t="s">
        <v>2126</v>
      </c>
    </row>
    <row r="422" spans="1:21" x14ac:dyDescent="0.25">
      <c r="A422" t="s">
        <v>2591</v>
      </c>
      <c r="B422">
        <v>17</v>
      </c>
      <c r="C422">
        <v>0.32025510000000001</v>
      </c>
      <c r="D422">
        <v>1.0344764</v>
      </c>
      <c r="E422">
        <v>0.39644970000000002</v>
      </c>
      <c r="F422">
        <v>0.68988830000000001</v>
      </c>
      <c r="G422">
        <v>1</v>
      </c>
      <c r="H422">
        <v>4579</v>
      </c>
      <c r="I422" t="s">
        <v>2592</v>
      </c>
      <c r="M422" s="227" t="s">
        <v>2591</v>
      </c>
      <c r="N422" s="227">
        <v>17</v>
      </c>
      <c r="O422" s="227">
        <v>0.32025510000000001</v>
      </c>
      <c r="P422" s="227">
        <v>1.0344764</v>
      </c>
      <c r="Q422" s="227">
        <v>0.39644970000000002</v>
      </c>
      <c r="R422" s="227">
        <v>0.68988830000000001</v>
      </c>
      <c r="S422" s="227">
        <v>1</v>
      </c>
      <c r="T422" s="227">
        <v>4579</v>
      </c>
      <c r="U422" s="227" t="s">
        <v>2592</v>
      </c>
    </row>
    <row r="423" spans="1:21" x14ac:dyDescent="0.25">
      <c r="A423" t="s">
        <v>2593</v>
      </c>
      <c r="B423">
        <v>17</v>
      </c>
      <c r="C423">
        <v>0.32025510000000001</v>
      </c>
      <c r="D423">
        <v>1.0344764</v>
      </c>
      <c r="E423">
        <v>0.39644970000000002</v>
      </c>
      <c r="F423">
        <v>0.68825345999999998</v>
      </c>
      <c r="G423">
        <v>1</v>
      </c>
      <c r="H423">
        <v>4579</v>
      </c>
      <c r="I423" t="s">
        <v>2592</v>
      </c>
      <c r="M423" s="227" t="s">
        <v>2593</v>
      </c>
      <c r="N423" s="227">
        <v>17</v>
      </c>
      <c r="O423" s="227">
        <v>0.32025510000000001</v>
      </c>
      <c r="P423" s="227">
        <v>1.0344764</v>
      </c>
      <c r="Q423" s="227">
        <v>0.39644970000000002</v>
      </c>
      <c r="R423" s="227">
        <v>0.68825345999999998</v>
      </c>
      <c r="S423" s="227">
        <v>1</v>
      </c>
      <c r="T423" s="227">
        <v>4579</v>
      </c>
      <c r="U423" s="227" t="s">
        <v>2592</v>
      </c>
    </row>
    <row r="424" spans="1:21" x14ac:dyDescent="0.25">
      <c r="A424" t="s">
        <v>2594</v>
      </c>
      <c r="B424">
        <v>17</v>
      </c>
      <c r="C424">
        <v>0.32025510000000001</v>
      </c>
      <c r="D424">
        <v>1.0344762999999999</v>
      </c>
      <c r="E424">
        <v>0.39644970000000002</v>
      </c>
      <c r="F424">
        <v>0.68662920000000005</v>
      </c>
      <c r="G424">
        <v>1</v>
      </c>
      <c r="H424">
        <v>4579</v>
      </c>
      <c r="I424" t="s">
        <v>2592</v>
      </c>
      <c r="M424" s="227" t="s">
        <v>2594</v>
      </c>
      <c r="N424" s="227">
        <v>17</v>
      </c>
      <c r="O424" s="227">
        <v>0.32025510000000001</v>
      </c>
      <c r="P424" s="227">
        <v>1.0344762999999999</v>
      </c>
      <c r="Q424" s="227">
        <v>0.39644970000000002</v>
      </c>
      <c r="R424" s="227">
        <v>0.68662920000000005</v>
      </c>
      <c r="S424" s="227">
        <v>1</v>
      </c>
      <c r="T424" s="227">
        <v>4579</v>
      </c>
      <c r="U424" s="227" t="s">
        <v>2592</v>
      </c>
    </row>
    <row r="425" spans="1:21" x14ac:dyDescent="0.25">
      <c r="A425" t="s">
        <v>2595</v>
      </c>
      <c r="B425">
        <v>22</v>
      </c>
      <c r="C425">
        <v>0.34549403000000001</v>
      </c>
      <c r="D425">
        <v>1.0343589</v>
      </c>
      <c r="E425">
        <v>0.44756555999999997</v>
      </c>
      <c r="F425">
        <v>0.68523840000000003</v>
      </c>
      <c r="G425">
        <v>1</v>
      </c>
      <c r="H425">
        <v>620</v>
      </c>
      <c r="I425" t="s">
        <v>2596</v>
      </c>
      <c r="M425" s="227" t="s">
        <v>2595</v>
      </c>
      <c r="N425" s="227">
        <v>22</v>
      </c>
      <c r="O425" s="227">
        <v>0.34549403000000001</v>
      </c>
      <c r="P425" s="227">
        <v>1.0343589</v>
      </c>
      <c r="Q425" s="227">
        <v>0.44756555999999997</v>
      </c>
      <c r="R425" s="227">
        <v>0.68523840000000003</v>
      </c>
      <c r="S425" s="227">
        <v>1</v>
      </c>
      <c r="T425" s="227">
        <v>620</v>
      </c>
      <c r="U425" s="227" t="s">
        <v>2596</v>
      </c>
    </row>
    <row r="426" spans="1:21" x14ac:dyDescent="0.25">
      <c r="A426" t="s">
        <v>2597</v>
      </c>
      <c r="B426">
        <v>66</v>
      </c>
      <c r="C426">
        <v>0.25217410000000001</v>
      </c>
      <c r="D426">
        <v>1.0342226999999999</v>
      </c>
      <c r="E426">
        <v>0.43392505999999997</v>
      </c>
      <c r="F426">
        <v>0.68386453000000003</v>
      </c>
      <c r="G426">
        <v>1</v>
      </c>
      <c r="H426">
        <v>1716</v>
      </c>
      <c r="I426" t="s">
        <v>2598</v>
      </c>
      <c r="M426" s="227" t="s">
        <v>2597</v>
      </c>
      <c r="N426" s="227">
        <v>66</v>
      </c>
      <c r="O426" s="227">
        <v>0.25217410000000001</v>
      </c>
      <c r="P426" s="227">
        <v>1.0342226999999999</v>
      </c>
      <c r="Q426" s="227">
        <v>0.43392505999999997</v>
      </c>
      <c r="R426" s="227">
        <v>0.68386453000000003</v>
      </c>
      <c r="S426" s="227">
        <v>1</v>
      </c>
      <c r="T426" s="227">
        <v>1716</v>
      </c>
      <c r="U426" s="227" t="s">
        <v>2598</v>
      </c>
    </row>
    <row r="427" spans="1:21" x14ac:dyDescent="0.25">
      <c r="A427" t="s">
        <v>2599</v>
      </c>
      <c r="B427">
        <v>19</v>
      </c>
      <c r="C427">
        <v>0.35338446000000001</v>
      </c>
      <c r="D427">
        <v>1.032734</v>
      </c>
      <c r="E427">
        <v>0.43545279999999997</v>
      </c>
      <c r="F427">
        <v>0.68533957000000001</v>
      </c>
      <c r="G427">
        <v>1</v>
      </c>
      <c r="H427">
        <v>7224</v>
      </c>
      <c r="I427" t="s">
        <v>2600</v>
      </c>
      <c r="M427" s="227" t="s">
        <v>2599</v>
      </c>
      <c r="N427" s="227">
        <v>19</v>
      </c>
      <c r="O427" s="227">
        <v>0.35338446000000001</v>
      </c>
      <c r="P427" s="227">
        <v>1.032734</v>
      </c>
      <c r="Q427" s="227">
        <v>0.43545279999999997</v>
      </c>
      <c r="R427" s="227">
        <v>0.68533957000000001</v>
      </c>
      <c r="S427" s="227">
        <v>1</v>
      </c>
      <c r="T427" s="227">
        <v>7224</v>
      </c>
      <c r="U427" s="227" t="s">
        <v>2600</v>
      </c>
    </row>
    <row r="428" spans="1:21" x14ac:dyDescent="0.25">
      <c r="A428" t="s">
        <v>2601</v>
      </c>
      <c r="B428">
        <v>118</v>
      </c>
      <c r="C428">
        <v>0.26378262000000002</v>
      </c>
      <c r="D428">
        <v>1.0299152</v>
      </c>
      <c r="E428">
        <v>0.35992577999999997</v>
      </c>
      <c r="F428">
        <v>0.68974566000000004</v>
      </c>
      <c r="G428">
        <v>1</v>
      </c>
      <c r="H428">
        <v>5473</v>
      </c>
      <c r="I428" t="s">
        <v>2602</v>
      </c>
      <c r="M428" s="227" t="s">
        <v>2601</v>
      </c>
      <c r="N428" s="227">
        <v>118</v>
      </c>
      <c r="O428" s="227">
        <v>0.26378262000000002</v>
      </c>
      <c r="P428" s="227">
        <v>1.0299152</v>
      </c>
      <c r="Q428" s="227">
        <v>0.35992577999999997</v>
      </c>
      <c r="R428" s="227">
        <v>0.68974566000000004</v>
      </c>
      <c r="S428" s="227">
        <v>1</v>
      </c>
      <c r="T428" s="227">
        <v>5473</v>
      </c>
      <c r="U428" s="227" t="s">
        <v>2602</v>
      </c>
    </row>
    <row r="429" spans="1:21" x14ac:dyDescent="0.25">
      <c r="A429" t="s">
        <v>2603</v>
      </c>
      <c r="B429">
        <v>127</v>
      </c>
      <c r="C429">
        <v>0.23419143000000001</v>
      </c>
      <c r="D429">
        <v>1.0298811999999999</v>
      </c>
      <c r="E429">
        <v>0.39089184999999999</v>
      </c>
      <c r="F429">
        <v>0.68821920000000003</v>
      </c>
      <c r="G429">
        <v>1</v>
      </c>
      <c r="H429">
        <v>4621</v>
      </c>
      <c r="I429" t="s">
        <v>2376</v>
      </c>
      <c r="M429" s="227" t="s">
        <v>2603</v>
      </c>
      <c r="N429" s="227">
        <v>127</v>
      </c>
      <c r="O429" s="227">
        <v>0.23419143000000001</v>
      </c>
      <c r="P429" s="227">
        <v>1.0298811999999999</v>
      </c>
      <c r="Q429" s="227">
        <v>0.39089184999999999</v>
      </c>
      <c r="R429" s="227">
        <v>0.68821920000000003</v>
      </c>
      <c r="S429" s="227">
        <v>1</v>
      </c>
      <c r="T429" s="227">
        <v>4621</v>
      </c>
      <c r="U429" s="227" t="s">
        <v>2376</v>
      </c>
    </row>
    <row r="430" spans="1:21" x14ac:dyDescent="0.25">
      <c r="A430" t="s">
        <v>2604</v>
      </c>
      <c r="B430">
        <v>17</v>
      </c>
      <c r="C430">
        <v>0.3308738</v>
      </c>
      <c r="D430">
        <v>1.0290549</v>
      </c>
      <c r="E430">
        <v>0.43678161999999998</v>
      </c>
      <c r="F430">
        <v>0.68838716</v>
      </c>
      <c r="G430">
        <v>1</v>
      </c>
      <c r="H430">
        <v>2629</v>
      </c>
      <c r="I430" t="s">
        <v>2605</v>
      </c>
      <c r="M430" s="227" t="s">
        <v>2604</v>
      </c>
      <c r="N430" s="227">
        <v>17</v>
      </c>
      <c r="O430" s="227">
        <v>0.3308738</v>
      </c>
      <c r="P430" s="227">
        <v>1.0290549</v>
      </c>
      <c r="Q430" s="227">
        <v>0.43678161999999998</v>
      </c>
      <c r="R430" s="227">
        <v>0.68838716</v>
      </c>
      <c r="S430" s="227">
        <v>1</v>
      </c>
      <c r="T430" s="227">
        <v>2629</v>
      </c>
      <c r="U430" s="227" t="s">
        <v>2605</v>
      </c>
    </row>
    <row r="431" spans="1:21" x14ac:dyDescent="0.25">
      <c r="A431" t="s">
        <v>1238</v>
      </c>
      <c r="B431">
        <v>41</v>
      </c>
      <c r="C431">
        <v>0.31933433</v>
      </c>
      <c r="D431">
        <v>1.0281342</v>
      </c>
      <c r="E431">
        <v>0.41358023999999999</v>
      </c>
      <c r="F431">
        <v>0.68891910000000001</v>
      </c>
      <c r="G431">
        <v>1</v>
      </c>
      <c r="H431">
        <v>4624</v>
      </c>
      <c r="I431" t="s">
        <v>2481</v>
      </c>
      <c r="M431" s="227" t="s">
        <v>1238</v>
      </c>
      <c r="N431" s="227">
        <v>41</v>
      </c>
      <c r="O431" s="227">
        <v>0.31933433</v>
      </c>
      <c r="P431" s="227">
        <v>1.0281342</v>
      </c>
      <c r="Q431" s="227">
        <v>0.41358023999999999</v>
      </c>
      <c r="R431" s="227">
        <v>0.68891910000000001</v>
      </c>
      <c r="S431" s="227">
        <v>1</v>
      </c>
      <c r="T431" s="227">
        <v>4624</v>
      </c>
      <c r="U431" s="227" t="s">
        <v>2481</v>
      </c>
    </row>
    <row r="432" spans="1:21" x14ac:dyDescent="0.25">
      <c r="A432" t="s">
        <v>2606</v>
      </c>
      <c r="B432">
        <v>21</v>
      </c>
      <c r="C432">
        <v>0.35199167999999997</v>
      </c>
      <c r="D432">
        <v>1.0280214999999999</v>
      </c>
      <c r="E432">
        <v>0.41527003000000001</v>
      </c>
      <c r="F432">
        <v>0.68762743000000004</v>
      </c>
      <c r="G432">
        <v>1</v>
      </c>
      <c r="H432">
        <v>4117</v>
      </c>
      <c r="I432" t="s">
        <v>2607</v>
      </c>
      <c r="M432" s="227" t="s">
        <v>2606</v>
      </c>
      <c r="N432" s="227">
        <v>21</v>
      </c>
      <c r="O432" s="227">
        <v>0.35199167999999997</v>
      </c>
      <c r="P432" s="227">
        <v>1.0280214999999999</v>
      </c>
      <c r="Q432" s="227">
        <v>0.41527003000000001</v>
      </c>
      <c r="R432" s="227">
        <v>0.68762743000000004</v>
      </c>
      <c r="S432" s="227">
        <v>1</v>
      </c>
      <c r="T432" s="227">
        <v>4117</v>
      </c>
      <c r="U432" s="227" t="s">
        <v>2607</v>
      </c>
    </row>
    <row r="433" spans="1:21" x14ac:dyDescent="0.25">
      <c r="A433" t="s">
        <v>2608</v>
      </c>
      <c r="B433">
        <v>48</v>
      </c>
      <c r="C433">
        <v>0.30849436000000002</v>
      </c>
      <c r="D433">
        <v>1.0275536000000001</v>
      </c>
      <c r="E433">
        <v>0.43333334000000001</v>
      </c>
      <c r="F433">
        <v>0.68702890000000005</v>
      </c>
      <c r="G433">
        <v>1</v>
      </c>
      <c r="H433">
        <v>5779</v>
      </c>
      <c r="I433" t="s">
        <v>2609</v>
      </c>
      <c r="M433" s="227" t="s">
        <v>2608</v>
      </c>
      <c r="N433" s="227">
        <v>48</v>
      </c>
      <c r="O433" s="227">
        <v>0.30849436000000002</v>
      </c>
      <c r="P433" s="227">
        <v>1.0275536000000001</v>
      </c>
      <c r="Q433" s="227">
        <v>0.43333334000000001</v>
      </c>
      <c r="R433" s="227">
        <v>0.68702890000000005</v>
      </c>
      <c r="S433" s="227">
        <v>1</v>
      </c>
      <c r="T433" s="227">
        <v>5779</v>
      </c>
      <c r="U433" s="227" t="s">
        <v>2609</v>
      </c>
    </row>
    <row r="434" spans="1:21" x14ac:dyDescent="0.25">
      <c r="A434" t="s">
        <v>2610</v>
      </c>
      <c r="B434">
        <v>20</v>
      </c>
      <c r="C434">
        <v>0.33032855</v>
      </c>
      <c r="D434">
        <v>1.0259573</v>
      </c>
      <c r="E434">
        <v>0.43685299999999999</v>
      </c>
      <c r="F434">
        <v>0.68887089999999995</v>
      </c>
      <c r="G434">
        <v>1</v>
      </c>
      <c r="H434">
        <v>8440</v>
      </c>
      <c r="I434" t="s">
        <v>2611</v>
      </c>
      <c r="M434" s="227" t="s">
        <v>2610</v>
      </c>
      <c r="N434" s="227">
        <v>20</v>
      </c>
      <c r="O434" s="227">
        <v>0.33032855</v>
      </c>
      <c r="P434" s="227">
        <v>1.0259573</v>
      </c>
      <c r="Q434" s="227">
        <v>0.43685299999999999</v>
      </c>
      <c r="R434" s="227">
        <v>0.68887089999999995</v>
      </c>
      <c r="S434" s="227">
        <v>1</v>
      </c>
      <c r="T434" s="227">
        <v>8440</v>
      </c>
      <c r="U434" s="227" t="s">
        <v>2611</v>
      </c>
    </row>
    <row r="435" spans="1:21" x14ac:dyDescent="0.25">
      <c r="A435" t="s">
        <v>2612</v>
      </c>
      <c r="B435">
        <v>21</v>
      </c>
      <c r="C435">
        <v>0.35250114999999999</v>
      </c>
      <c r="D435">
        <v>1.0249931000000001</v>
      </c>
      <c r="E435">
        <v>0.43811396000000002</v>
      </c>
      <c r="F435">
        <v>0.68939240000000002</v>
      </c>
      <c r="G435">
        <v>1</v>
      </c>
      <c r="H435">
        <v>8088</v>
      </c>
      <c r="I435" t="s">
        <v>2613</v>
      </c>
      <c r="M435" s="227" t="s">
        <v>2612</v>
      </c>
      <c r="N435" s="227">
        <v>21</v>
      </c>
      <c r="O435" s="227">
        <v>0.35250114999999999</v>
      </c>
      <c r="P435" s="227">
        <v>1.0249931000000001</v>
      </c>
      <c r="Q435" s="227">
        <v>0.43811396000000002</v>
      </c>
      <c r="R435" s="227">
        <v>0.68939240000000002</v>
      </c>
      <c r="S435" s="227">
        <v>1</v>
      </c>
      <c r="T435" s="227">
        <v>8088</v>
      </c>
      <c r="U435" s="227" t="s">
        <v>2613</v>
      </c>
    </row>
    <row r="436" spans="1:21" x14ac:dyDescent="0.25">
      <c r="A436" t="s">
        <v>2614</v>
      </c>
      <c r="B436">
        <v>15</v>
      </c>
      <c r="C436">
        <v>0.35684759999999999</v>
      </c>
      <c r="D436">
        <v>1.0244176</v>
      </c>
      <c r="E436">
        <v>0.4258189</v>
      </c>
      <c r="F436">
        <v>0.68898784999999996</v>
      </c>
      <c r="G436">
        <v>1</v>
      </c>
      <c r="H436">
        <v>4694</v>
      </c>
      <c r="I436" t="s">
        <v>2368</v>
      </c>
      <c r="M436" s="227" t="s">
        <v>2614</v>
      </c>
      <c r="N436" s="227">
        <v>15</v>
      </c>
      <c r="O436" s="227">
        <v>0.35684759999999999</v>
      </c>
      <c r="P436" s="227">
        <v>1.0244176</v>
      </c>
      <c r="Q436" s="227">
        <v>0.4258189</v>
      </c>
      <c r="R436" s="227">
        <v>0.68898784999999996</v>
      </c>
      <c r="S436" s="227">
        <v>1</v>
      </c>
      <c r="T436" s="227">
        <v>4694</v>
      </c>
      <c r="U436" s="227" t="s">
        <v>2368</v>
      </c>
    </row>
    <row r="437" spans="1:21" x14ac:dyDescent="0.25">
      <c r="A437" t="s">
        <v>2615</v>
      </c>
      <c r="B437">
        <v>23</v>
      </c>
      <c r="C437">
        <v>0.33799606999999998</v>
      </c>
      <c r="D437">
        <v>1.0242994999999999</v>
      </c>
      <c r="E437">
        <v>0.41188957999999998</v>
      </c>
      <c r="F437">
        <v>0.68764334999999999</v>
      </c>
      <c r="G437">
        <v>1</v>
      </c>
      <c r="H437">
        <v>5814</v>
      </c>
      <c r="I437" t="s">
        <v>2616</v>
      </c>
      <c r="M437" s="227" t="s">
        <v>2615</v>
      </c>
      <c r="N437" s="227">
        <v>23</v>
      </c>
      <c r="O437" s="227">
        <v>0.33799606999999998</v>
      </c>
      <c r="P437" s="227">
        <v>1.0242994999999999</v>
      </c>
      <c r="Q437" s="227">
        <v>0.41188957999999998</v>
      </c>
      <c r="R437" s="227">
        <v>0.68764334999999999</v>
      </c>
      <c r="S437" s="227">
        <v>1</v>
      </c>
      <c r="T437" s="227">
        <v>5814</v>
      </c>
      <c r="U437" s="227" t="s">
        <v>2616</v>
      </c>
    </row>
    <row r="438" spans="1:21" x14ac:dyDescent="0.25">
      <c r="A438" t="s">
        <v>2617</v>
      </c>
      <c r="B438">
        <v>36</v>
      </c>
      <c r="C438">
        <v>0.36967197000000002</v>
      </c>
      <c r="D438">
        <v>1.0235723000000001</v>
      </c>
      <c r="E438">
        <v>0.44306050000000002</v>
      </c>
      <c r="F438">
        <v>0.68772670000000002</v>
      </c>
      <c r="G438">
        <v>1</v>
      </c>
      <c r="H438">
        <v>6576</v>
      </c>
      <c r="I438" t="s">
        <v>2618</v>
      </c>
      <c r="M438" s="227" t="s">
        <v>2617</v>
      </c>
      <c r="N438" s="227">
        <v>36</v>
      </c>
      <c r="O438" s="227">
        <v>0.36967197000000002</v>
      </c>
      <c r="P438" s="227">
        <v>1.0235723000000001</v>
      </c>
      <c r="Q438" s="227">
        <v>0.44306050000000002</v>
      </c>
      <c r="R438" s="227">
        <v>0.68772670000000002</v>
      </c>
      <c r="S438" s="227">
        <v>1</v>
      </c>
      <c r="T438" s="227">
        <v>6576</v>
      </c>
      <c r="U438" s="227" t="s">
        <v>2618</v>
      </c>
    </row>
    <row r="439" spans="1:21" x14ac:dyDescent="0.25">
      <c r="A439" t="s">
        <v>2619</v>
      </c>
      <c r="B439">
        <v>22</v>
      </c>
      <c r="C439">
        <v>0.36094685999999998</v>
      </c>
      <c r="D439">
        <v>1.0225143000000001</v>
      </c>
      <c r="E439">
        <v>0.44571430000000001</v>
      </c>
      <c r="F439">
        <v>0.68837356999999999</v>
      </c>
      <c r="G439">
        <v>1</v>
      </c>
      <c r="H439">
        <v>4563</v>
      </c>
      <c r="I439" t="s">
        <v>2620</v>
      </c>
      <c r="M439" s="227" t="s">
        <v>2619</v>
      </c>
      <c r="N439" s="227">
        <v>22</v>
      </c>
      <c r="O439" s="227">
        <v>0.36094685999999998</v>
      </c>
      <c r="P439" s="227">
        <v>1.0225143000000001</v>
      </c>
      <c r="Q439" s="227">
        <v>0.44571430000000001</v>
      </c>
      <c r="R439" s="227">
        <v>0.68837356999999999</v>
      </c>
      <c r="S439" s="227">
        <v>1</v>
      </c>
      <c r="T439" s="227">
        <v>4563</v>
      </c>
      <c r="U439" s="227" t="s">
        <v>2620</v>
      </c>
    </row>
    <row r="440" spans="1:21" x14ac:dyDescent="0.25">
      <c r="A440" t="s">
        <v>2621</v>
      </c>
      <c r="B440">
        <v>27</v>
      </c>
      <c r="C440">
        <v>0.2885876</v>
      </c>
      <c r="D440">
        <v>1.0214398</v>
      </c>
      <c r="E440">
        <v>0.41732283999999997</v>
      </c>
      <c r="F440">
        <v>0.68910395999999996</v>
      </c>
      <c r="G440">
        <v>1</v>
      </c>
      <c r="H440">
        <v>4717</v>
      </c>
      <c r="I440" t="s">
        <v>2622</v>
      </c>
      <c r="M440" s="227" t="s">
        <v>2621</v>
      </c>
      <c r="N440" s="227">
        <v>27</v>
      </c>
      <c r="O440" s="227">
        <v>0.2885876</v>
      </c>
      <c r="P440" s="227">
        <v>1.0214398</v>
      </c>
      <c r="Q440" s="227">
        <v>0.41732283999999997</v>
      </c>
      <c r="R440" s="227">
        <v>0.68910395999999996</v>
      </c>
      <c r="S440" s="227">
        <v>1</v>
      </c>
      <c r="T440" s="227">
        <v>4717</v>
      </c>
      <c r="U440" s="227" t="s">
        <v>2622</v>
      </c>
    </row>
    <row r="441" spans="1:21" x14ac:dyDescent="0.25">
      <c r="A441" t="s">
        <v>2623</v>
      </c>
      <c r="B441">
        <v>80</v>
      </c>
      <c r="C441">
        <v>0.27784130000000001</v>
      </c>
      <c r="D441">
        <v>1.021207</v>
      </c>
      <c r="E441">
        <v>0.42066421999999998</v>
      </c>
      <c r="F441">
        <v>0.68798760000000003</v>
      </c>
      <c r="G441">
        <v>1</v>
      </c>
      <c r="H441">
        <v>4028</v>
      </c>
      <c r="I441" t="s">
        <v>2624</v>
      </c>
      <c r="M441" s="227" t="s">
        <v>2623</v>
      </c>
      <c r="N441" s="227">
        <v>80</v>
      </c>
      <c r="O441" s="227">
        <v>0.27784130000000001</v>
      </c>
      <c r="P441" s="227">
        <v>1.021207</v>
      </c>
      <c r="Q441" s="227">
        <v>0.42066421999999998</v>
      </c>
      <c r="R441" s="227">
        <v>0.68798760000000003</v>
      </c>
      <c r="S441" s="227">
        <v>1</v>
      </c>
      <c r="T441" s="227">
        <v>4028</v>
      </c>
      <c r="U441" s="227" t="s">
        <v>2624</v>
      </c>
    </row>
    <row r="442" spans="1:21" x14ac:dyDescent="0.25">
      <c r="A442" t="s">
        <v>2625</v>
      </c>
      <c r="B442">
        <v>33</v>
      </c>
      <c r="C442">
        <v>0.29768752999999998</v>
      </c>
      <c r="D442">
        <v>1.0199597</v>
      </c>
      <c r="E442">
        <v>0.44111776000000003</v>
      </c>
      <c r="F442">
        <v>0.68914187000000005</v>
      </c>
      <c r="G442">
        <v>1</v>
      </c>
      <c r="H442">
        <v>3524</v>
      </c>
      <c r="I442" t="s">
        <v>2154</v>
      </c>
      <c r="M442" s="227" t="s">
        <v>2625</v>
      </c>
      <c r="N442" s="227">
        <v>33</v>
      </c>
      <c r="O442" s="227">
        <v>0.29768752999999998</v>
      </c>
      <c r="P442" s="227">
        <v>1.0199597</v>
      </c>
      <c r="Q442" s="227">
        <v>0.44111776000000003</v>
      </c>
      <c r="R442" s="227">
        <v>0.68914187000000005</v>
      </c>
      <c r="S442" s="227">
        <v>1</v>
      </c>
      <c r="T442" s="227">
        <v>3524</v>
      </c>
      <c r="U442" s="227" t="s">
        <v>2154</v>
      </c>
    </row>
    <row r="443" spans="1:21" x14ac:dyDescent="0.25">
      <c r="A443" t="s">
        <v>2626</v>
      </c>
      <c r="B443">
        <v>23</v>
      </c>
      <c r="C443">
        <v>0.35112482</v>
      </c>
      <c r="D443">
        <v>1.0184519999999999</v>
      </c>
      <c r="E443">
        <v>0.43796992000000001</v>
      </c>
      <c r="F443">
        <v>0.69089959999999995</v>
      </c>
      <c r="G443">
        <v>1</v>
      </c>
      <c r="H443">
        <v>4973</v>
      </c>
      <c r="I443" t="s">
        <v>2627</v>
      </c>
      <c r="M443" s="227" t="s">
        <v>2626</v>
      </c>
      <c r="N443" s="227">
        <v>23</v>
      </c>
      <c r="O443" s="227">
        <v>0.35112482</v>
      </c>
      <c r="P443" s="227">
        <v>1.0184519999999999</v>
      </c>
      <c r="Q443" s="227">
        <v>0.43796992000000001</v>
      </c>
      <c r="R443" s="227">
        <v>0.69089959999999995</v>
      </c>
      <c r="S443" s="227">
        <v>1</v>
      </c>
      <c r="T443" s="227">
        <v>4973</v>
      </c>
      <c r="U443" s="227" t="s">
        <v>2627</v>
      </c>
    </row>
    <row r="444" spans="1:21" x14ac:dyDescent="0.25">
      <c r="A444" t="s">
        <v>2628</v>
      </c>
      <c r="B444">
        <v>28</v>
      </c>
      <c r="C444">
        <v>0.38784465000000001</v>
      </c>
      <c r="D444">
        <v>1.0175959000000001</v>
      </c>
      <c r="E444">
        <v>0.46858168</v>
      </c>
      <c r="F444">
        <v>0.69131889999999996</v>
      </c>
      <c r="G444">
        <v>1</v>
      </c>
      <c r="H444">
        <v>4694</v>
      </c>
      <c r="I444" t="s">
        <v>2629</v>
      </c>
      <c r="M444" s="227" t="s">
        <v>2628</v>
      </c>
      <c r="N444" s="227">
        <v>28</v>
      </c>
      <c r="O444" s="227">
        <v>0.38784465000000001</v>
      </c>
      <c r="P444" s="227">
        <v>1.0175959000000001</v>
      </c>
      <c r="Q444" s="227">
        <v>0.46858168</v>
      </c>
      <c r="R444" s="227">
        <v>0.69131889999999996</v>
      </c>
      <c r="S444" s="227">
        <v>1</v>
      </c>
      <c r="T444" s="227">
        <v>4694</v>
      </c>
      <c r="U444" s="227" t="s">
        <v>2629</v>
      </c>
    </row>
    <row r="445" spans="1:21" x14ac:dyDescent="0.25">
      <c r="A445" t="s">
        <v>2630</v>
      </c>
      <c r="B445">
        <v>121</v>
      </c>
      <c r="C445">
        <v>0.25525579999999998</v>
      </c>
      <c r="D445">
        <v>1.0169739</v>
      </c>
      <c r="E445">
        <v>0.42596349999999999</v>
      </c>
      <c r="F445">
        <v>0.69105119999999998</v>
      </c>
      <c r="G445">
        <v>1</v>
      </c>
      <c r="H445">
        <v>2851</v>
      </c>
      <c r="I445" t="s">
        <v>2631</v>
      </c>
      <c r="M445" s="227" t="s">
        <v>2630</v>
      </c>
      <c r="N445" s="227">
        <v>121</v>
      </c>
      <c r="O445" s="227">
        <v>0.25525579999999998</v>
      </c>
      <c r="P445" s="227">
        <v>1.0169739</v>
      </c>
      <c r="Q445" s="227">
        <v>0.42596349999999999</v>
      </c>
      <c r="R445" s="227">
        <v>0.69105119999999998</v>
      </c>
      <c r="S445" s="227">
        <v>1</v>
      </c>
      <c r="T445" s="227">
        <v>2851</v>
      </c>
      <c r="U445" s="227" t="s">
        <v>2631</v>
      </c>
    </row>
    <row r="446" spans="1:21" x14ac:dyDescent="0.25">
      <c r="A446" t="s">
        <v>2632</v>
      </c>
      <c r="B446">
        <v>65</v>
      </c>
      <c r="C446">
        <v>0.26741029999999999</v>
      </c>
      <c r="D446">
        <v>1.016786</v>
      </c>
      <c r="E446">
        <v>0.44606948000000002</v>
      </c>
      <c r="F446">
        <v>0.68991619999999998</v>
      </c>
      <c r="G446">
        <v>1</v>
      </c>
      <c r="H446">
        <v>5779</v>
      </c>
      <c r="I446" t="s">
        <v>2345</v>
      </c>
      <c r="M446" s="227" t="s">
        <v>2632</v>
      </c>
      <c r="N446" s="227">
        <v>65</v>
      </c>
      <c r="O446" s="227">
        <v>0.26741029999999999</v>
      </c>
      <c r="P446" s="227">
        <v>1.016786</v>
      </c>
      <c r="Q446" s="227">
        <v>0.44606948000000002</v>
      </c>
      <c r="R446" s="227">
        <v>0.68991619999999998</v>
      </c>
      <c r="S446" s="227">
        <v>1</v>
      </c>
      <c r="T446" s="227">
        <v>5779</v>
      </c>
      <c r="U446" s="227" t="s">
        <v>2345</v>
      </c>
    </row>
    <row r="447" spans="1:21" x14ac:dyDescent="0.25">
      <c r="A447" t="s">
        <v>2633</v>
      </c>
      <c r="B447">
        <v>44</v>
      </c>
      <c r="C447">
        <v>0.27589807</v>
      </c>
      <c r="D447">
        <v>1.0166189999999999</v>
      </c>
      <c r="E447">
        <v>0.40927419999999998</v>
      </c>
      <c r="F447">
        <v>0.68875909999999996</v>
      </c>
      <c r="G447">
        <v>1</v>
      </c>
      <c r="H447">
        <v>3240</v>
      </c>
      <c r="I447" t="s">
        <v>2372</v>
      </c>
      <c r="M447" s="227" t="s">
        <v>2633</v>
      </c>
      <c r="N447" s="227">
        <v>44</v>
      </c>
      <c r="O447" s="227">
        <v>0.27589807</v>
      </c>
      <c r="P447" s="227">
        <v>1.0166189999999999</v>
      </c>
      <c r="Q447" s="227">
        <v>0.40927419999999998</v>
      </c>
      <c r="R447" s="227">
        <v>0.68875909999999996</v>
      </c>
      <c r="S447" s="227">
        <v>1</v>
      </c>
      <c r="T447" s="227">
        <v>3240</v>
      </c>
      <c r="U447" s="227" t="s">
        <v>2372</v>
      </c>
    </row>
    <row r="448" spans="1:21" x14ac:dyDescent="0.25">
      <c r="A448" t="s">
        <v>2634</v>
      </c>
      <c r="B448">
        <v>141</v>
      </c>
      <c r="C448">
        <v>0.24577004999999999</v>
      </c>
      <c r="D448">
        <v>1.0164272999999999</v>
      </c>
      <c r="E448">
        <v>0.41316269999999999</v>
      </c>
      <c r="F448">
        <v>0.68751770000000001</v>
      </c>
      <c r="G448">
        <v>1</v>
      </c>
      <c r="H448">
        <v>5514</v>
      </c>
      <c r="I448" t="s">
        <v>2635</v>
      </c>
      <c r="M448" s="227" t="s">
        <v>2634</v>
      </c>
      <c r="N448" s="227">
        <v>141</v>
      </c>
      <c r="O448" s="227">
        <v>0.24577004999999999</v>
      </c>
      <c r="P448" s="227">
        <v>1.0164272999999999</v>
      </c>
      <c r="Q448" s="227">
        <v>0.41316269999999999</v>
      </c>
      <c r="R448" s="227">
        <v>0.68751770000000001</v>
      </c>
      <c r="S448" s="227">
        <v>1</v>
      </c>
      <c r="T448" s="227">
        <v>5514</v>
      </c>
      <c r="U448" s="227" t="s">
        <v>2635</v>
      </c>
    </row>
    <row r="449" spans="1:21" x14ac:dyDescent="0.25">
      <c r="A449" t="s">
        <v>2636</v>
      </c>
      <c r="B449">
        <v>204</v>
      </c>
      <c r="C449">
        <v>0.20223883000000001</v>
      </c>
      <c r="D449">
        <v>1.0163892999999999</v>
      </c>
      <c r="E449">
        <v>0.41444868000000001</v>
      </c>
      <c r="F449">
        <v>0.68607399999999996</v>
      </c>
      <c r="G449">
        <v>1</v>
      </c>
      <c r="H449">
        <v>3374</v>
      </c>
      <c r="I449" t="s">
        <v>2377</v>
      </c>
      <c r="M449" s="227" t="s">
        <v>2636</v>
      </c>
      <c r="N449" s="227">
        <v>204</v>
      </c>
      <c r="O449" s="227">
        <v>0.20223883000000001</v>
      </c>
      <c r="P449" s="227">
        <v>1.0163892999999999</v>
      </c>
      <c r="Q449" s="227">
        <v>0.41444868000000001</v>
      </c>
      <c r="R449" s="227">
        <v>0.68607399999999996</v>
      </c>
      <c r="S449" s="227">
        <v>1</v>
      </c>
      <c r="T449" s="227">
        <v>3374</v>
      </c>
      <c r="U449" s="227" t="s">
        <v>2377</v>
      </c>
    </row>
    <row r="450" spans="1:21" x14ac:dyDescent="0.25">
      <c r="A450" t="s">
        <v>2637</v>
      </c>
      <c r="B450">
        <v>31</v>
      </c>
      <c r="C450">
        <v>0.27572158000000002</v>
      </c>
      <c r="D450">
        <v>1.015744</v>
      </c>
      <c r="E450">
        <v>0.43258426</v>
      </c>
      <c r="F450">
        <v>0.68588156</v>
      </c>
      <c r="G450">
        <v>1</v>
      </c>
      <c r="H450">
        <v>4660</v>
      </c>
      <c r="I450" t="s">
        <v>2364</v>
      </c>
      <c r="M450" s="227" t="s">
        <v>2637</v>
      </c>
      <c r="N450" s="227">
        <v>31</v>
      </c>
      <c r="O450" s="227">
        <v>0.27572158000000002</v>
      </c>
      <c r="P450" s="227">
        <v>1.015744</v>
      </c>
      <c r="Q450" s="227">
        <v>0.43258426</v>
      </c>
      <c r="R450" s="227">
        <v>0.68588156</v>
      </c>
      <c r="S450" s="227">
        <v>1</v>
      </c>
      <c r="T450" s="227">
        <v>4660</v>
      </c>
      <c r="U450" s="227" t="s">
        <v>2364</v>
      </c>
    </row>
    <row r="451" spans="1:21" x14ac:dyDescent="0.25">
      <c r="A451" t="s">
        <v>2638</v>
      </c>
      <c r="B451">
        <v>60</v>
      </c>
      <c r="C451">
        <v>0.35753527000000002</v>
      </c>
      <c r="D451">
        <v>1.0156776999999999</v>
      </c>
      <c r="E451">
        <v>0.47212544000000001</v>
      </c>
      <c r="F451">
        <v>0.68451196000000003</v>
      </c>
      <c r="G451">
        <v>1</v>
      </c>
      <c r="H451">
        <v>6378</v>
      </c>
      <c r="I451" t="s">
        <v>2639</v>
      </c>
      <c r="M451" s="227" t="s">
        <v>2638</v>
      </c>
      <c r="N451" s="227">
        <v>60</v>
      </c>
      <c r="O451" s="227">
        <v>0.35753527000000002</v>
      </c>
      <c r="P451" s="227">
        <v>1.0156776999999999</v>
      </c>
      <c r="Q451" s="227">
        <v>0.47212544000000001</v>
      </c>
      <c r="R451" s="227">
        <v>0.68451196000000003</v>
      </c>
      <c r="S451" s="227">
        <v>1</v>
      </c>
      <c r="T451" s="227">
        <v>6378</v>
      </c>
      <c r="U451" s="227" t="s">
        <v>2639</v>
      </c>
    </row>
    <row r="452" spans="1:21" x14ac:dyDescent="0.25">
      <c r="A452" t="s">
        <v>2640</v>
      </c>
      <c r="B452">
        <v>31</v>
      </c>
      <c r="C452">
        <v>0.31650020000000001</v>
      </c>
      <c r="D452">
        <v>1.0147381</v>
      </c>
      <c r="E452">
        <v>0.43485916000000002</v>
      </c>
      <c r="F452">
        <v>0.68492980000000003</v>
      </c>
      <c r="G452">
        <v>1</v>
      </c>
      <c r="H452">
        <v>7929</v>
      </c>
      <c r="I452" t="s">
        <v>2641</v>
      </c>
      <c r="M452" s="227" t="s">
        <v>2640</v>
      </c>
      <c r="N452" s="227">
        <v>31</v>
      </c>
      <c r="O452" s="227">
        <v>0.31650020000000001</v>
      </c>
      <c r="P452" s="227">
        <v>1.0147381</v>
      </c>
      <c r="Q452" s="227">
        <v>0.43485916000000002</v>
      </c>
      <c r="R452" s="227">
        <v>0.68492980000000003</v>
      </c>
      <c r="S452" s="227">
        <v>1</v>
      </c>
      <c r="T452" s="227">
        <v>7929</v>
      </c>
      <c r="U452" s="227" t="s">
        <v>2641</v>
      </c>
    </row>
    <row r="453" spans="1:21" x14ac:dyDescent="0.25">
      <c r="A453" t="s">
        <v>2642</v>
      </c>
      <c r="B453">
        <v>19</v>
      </c>
      <c r="C453">
        <v>0.31106874000000001</v>
      </c>
      <c r="D453">
        <v>1.0142679999999999</v>
      </c>
      <c r="E453">
        <v>0.43313372</v>
      </c>
      <c r="F453">
        <v>0.68448204000000001</v>
      </c>
      <c r="G453">
        <v>1</v>
      </c>
      <c r="H453">
        <v>1068</v>
      </c>
      <c r="I453" t="s">
        <v>2379</v>
      </c>
      <c r="M453" s="227" t="s">
        <v>2642</v>
      </c>
      <c r="N453" s="227">
        <v>19</v>
      </c>
      <c r="O453" s="227">
        <v>0.31106874000000001</v>
      </c>
      <c r="P453" s="227">
        <v>1.0142679999999999</v>
      </c>
      <c r="Q453" s="227">
        <v>0.43313372</v>
      </c>
      <c r="R453" s="227">
        <v>0.68448204000000001</v>
      </c>
      <c r="S453" s="227">
        <v>1</v>
      </c>
      <c r="T453" s="227">
        <v>1068</v>
      </c>
      <c r="U453" s="227" t="s">
        <v>2379</v>
      </c>
    </row>
    <row r="454" spans="1:21" x14ac:dyDescent="0.25">
      <c r="A454" t="s">
        <v>2643</v>
      </c>
      <c r="B454">
        <v>26</v>
      </c>
      <c r="C454">
        <v>0.40796300000000002</v>
      </c>
      <c r="D454">
        <v>1.0140898</v>
      </c>
      <c r="E454">
        <v>0.4870912</v>
      </c>
      <c r="F454">
        <v>0.68327150000000003</v>
      </c>
      <c r="G454">
        <v>1</v>
      </c>
      <c r="H454">
        <v>5125</v>
      </c>
      <c r="I454" t="s">
        <v>2644</v>
      </c>
      <c r="M454" s="227" t="s">
        <v>2643</v>
      </c>
      <c r="N454" s="227">
        <v>26</v>
      </c>
      <c r="O454" s="227">
        <v>0.40796300000000002</v>
      </c>
      <c r="P454" s="227">
        <v>1.0140898</v>
      </c>
      <c r="Q454" s="227">
        <v>0.4870912</v>
      </c>
      <c r="R454" s="227">
        <v>0.68327150000000003</v>
      </c>
      <c r="S454" s="227">
        <v>1</v>
      </c>
      <c r="T454" s="227">
        <v>5125</v>
      </c>
      <c r="U454" s="227" t="s">
        <v>2644</v>
      </c>
    </row>
    <row r="455" spans="1:21" x14ac:dyDescent="0.25">
      <c r="A455" t="s">
        <v>2645</v>
      </c>
      <c r="B455">
        <v>15</v>
      </c>
      <c r="C455">
        <v>0.34412791999999998</v>
      </c>
      <c r="D455">
        <v>1.0100429</v>
      </c>
      <c r="E455">
        <v>0.44834711999999999</v>
      </c>
      <c r="F455">
        <v>0.69022744999999996</v>
      </c>
      <c r="G455">
        <v>1</v>
      </c>
      <c r="H455">
        <v>4226</v>
      </c>
      <c r="I455" t="s">
        <v>2353</v>
      </c>
      <c r="M455" s="227" t="s">
        <v>2645</v>
      </c>
      <c r="N455" s="227">
        <v>15</v>
      </c>
      <c r="O455" s="227">
        <v>0.34412791999999998</v>
      </c>
      <c r="P455" s="227">
        <v>1.0100429</v>
      </c>
      <c r="Q455" s="227">
        <v>0.44834711999999999</v>
      </c>
      <c r="R455" s="227">
        <v>0.69022744999999996</v>
      </c>
      <c r="S455" s="227">
        <v>1</v>
      </c>
      <c r="T455" s="227">
        <v>4226</v>
      </c>
      <c r="U455" s="227" t="s">
        <v>2353</v>
      </c>
    </row>
    <row r="456" spans="1:21" x14ac:dyDescent="0.25">
      <c r="A456" t="s">
        <v>2646</v>
      </c>
      <c r="B456">
        <v>38</v>
      </c>
      <c r="C456">
        <v>0.28037371999999999</v>
      </c>
      <c r="D456">
        <v>1.0093721</v>
      </c>
      <c r="E456">
        <v>0.43227090000000001</v>
      </c>
      <c r="F456">
        <v>0.69012090000000004</v>
      </c>
      <c r="G456">
        <v>1</v>
      </c>
      <c r="H456">
        <v>5366</v>
      </c>
      <c r="I456" t="s">
        <v>2647</v>
      </c>
      <c r="M456" s="227" t="s">
        <v>2646</v>
      </c>
      <c r="N456" s="227">
        <v>38</v>
      </c>
      <c r="O456" s="227">
        <v>0.28037371999999999</v>
      </c>
      <c r="P456" s="227">
        <v>1.0093721</v>
      </c>
      <c r="Q456" s="227">
        <v>0.43227090000000001</v>
      </c>
      <c r="R456" s="227">
        <v>0.69012090000000004</v>
      </c>
      <c r="S456" s="227">
        <v>1</v>
      </c>
      <c r="T456" s="227">
        <v>5366</v>
      </c>
      <c r="U456" s="227" t="s">
        <v>2647</v>
      </c>
    </row>
    <row r="457" spans="1:21" x14ac:dyDescent="0.25">
      <c r="A457" t="s">
        <v>2648</v>
      </c>
      <c r="B457">
        <v>97</v>
      </c>
      <c r="C457">
        <v>0.2428949</v>
      </c>
      <c r="D457">
        <v>1.0076871999999999</v>
      </c>
      <c r="E457">
        <v>0.43265306999999997</v>
      </c>
      <c r="F457">
        <v>0.69211847000000004</v>
      </c>
      <c r="G457">
        <v>1</v>
      </c>
      <c r="H457">
        <v>3018</v>
      </c>
      <c r="I457" t="s">
        <v>2649</v>
      </c>
      <c r="M457" s="227" t="s">
        <v>2648</v>
      </c>
      <c r="N457" s="227">
        <v>97</v>
      </c>
      <c r="O457" s="227">
        <v>0.2428949</v>
      </c>
      <c r="P457" s="227">
        <v>1.0076871999999999</v>
      </c>
      <c r="Q457" s="227">
        <v>0.43265306999999997</v>
      </c>
      <c r="R457" s="227">
        <v>0.69211847000000004</v>
      </c>
      <c r="S457" s="227">
        <v>1</v>
      </c>
      <c r="T457" s="227">
        <v>3018</v>
      </c>
      <c r="U457" s="227" t="s">
        <v>2649</v>
      </c>
    </row>
    <row r="458" spans="1:21" x14ac:dyDescent="0.25">
      <c r="A458" t="s">
        <v>2650</v>
      </c>
      <c r="B458">
        <v>28</v>
      </c>
      <c r="C458">
        <v>0.38572331999999998</v>
      </c>
      <c r="D458">
        <v>1.006392</v>
      </c>
      <c r="E458">
        <v>0.47755834000000003</v>
      </c>
      <c r="F458">
        <v>0.69349927</v>
      </c>
      <c r="G458">
        <v>1</v>
      </c>
      <c r="H458">
        <v>4485</v>
      </c>
      <c r="I458" t="s">
        <v>2651</v>
      </c>
      <c r="M458" s="227" t="s">
        <v>2650</v>
      </c>
      <c r="N458" s="227">
        <v>28</v>
      </c>
      <c r="O458" s="227">
        <v>0.38572331999999998</v>
      </c>
      <c r="P458" s="227">
        <v>1.006392</v>
      </c>
      <c r="Q458" s="227">
        <v>0.47755834000000003</v>
      </c>
      <c r="R458" s="227">
        <v>0.69349927</v>
      </c>
      <c r="S458" s="227">
        <v>1</v>
      </c>
      <c r="T458" s="227">
        <v>4485</v>
      </c>
      <c r="U458" s="227" t="s">
        <v>2651</v>
      </c>
    </row>
    <row r="459" spans="1:21" x14ac:dyDescent="0.25">
      <c r="A459" t="s">
        <v>2652</v>
      </c>
      <c r="B459">
        <v>21</v>
      </c>
      <c r="C459">
        <v>0.30990420000000002</v>
      </c>
      <c r="D459">
        <v>1.0039233999999999</v>
      </c>
      <c r="E459">
        <v>0.47851561999999997</v>
      </c>
      <c r="F459">
        <v>0.69689480000000004</v>
      </c>
      <c r="G459">
        <v>1</v>
      </c>
      <c r="H459">
        <v>5917</v>
      </c>
      <c r="I459" t="s">
        <v>2653</v>
      </c>
      <c r="M459" s="227" t="s">
        <v>2652</v>
      </c>
      <c r="N459" s="227">
        <v>21</v>
      </c>
      <c r="O459" s="227">
        <v>0.30990420000000002</v>
      </c>
      <c r="P459" s="227">
        <v>1.0039233999999999</v>
      </c>
      <c r="Q459" s="227">
        <v>0.47851561999999997</v>
      </c>
      <c r="R459" s="227">
        <v>0.69689480000000004</v>
      </c>
      <c r="S459" s="227">
        <v>1</v>
      </c>
      <c r="T459" s="227">
        <v>5917</v>
      </c>
      <c r="U459" s="227" t="s">
        <v>2653</v>
      </c>
    </row>
    <row r="460" spans="1:21" x14ac:dyDescent="0.25">
      <c r="A460" t="s">
        <v>2654</v>
      </c>
      <c r="B460">
        <v>183</v>
      </c>
      <c r="C460">
        <v>0.26800573</v>
      </c>
      <c r="D460">
        <v>1.0033399000000001</v>
      </c>
      <c r="E460">
        <v>0.45825242999999999</v>
      </c>
      <c r="F460">
        <v>0.69657639999999998</v>
      </c>
      <c r="G460">
        <v>1</v>
      </c>
      <c r="H460">
        <v>4860</v>
      </c>
      <c r="I460" t="s">
        <v>2503</v>
      </c>
      <c r="M460" s="227" t="s">
        <v>2654</v>
      </c>
      <c r="N460" s="227">
        <v>183</v>
      </c>
      <c r="O460" s="227">
        <v>0.26800573</v>
      </c>
      <c r="P460" s="227">
        <v>1.0033399000000001</v>
      </c>
      <c r="Q460" s="227">
        <v>0.45825242999999999</v>
      </c>
      <c r="R460" s="227">
        <v>0.69657639999999998</v>
      </c>
      <c r="S460" s="227">
        <v>1</v>
      </c>
      <c r="T460" s="227">
        <v>4860</v>
      </c>
      <c r="U460" s="227" t="s">
        <v>2503</v>
      </c>
    </row>
    <row r="461" spans="1:21" x14ac:dyDescent="0.25">
      <c r="A461" t="s">
        <v>2655</v>
      </c>
      <c r="B461">
        <v>178</v>
      </c>
      <c r="C461">
        <v>0.23033991000000001</v>
      </c>
      <c r="D461">
        <v>1.0027531000000001</v>
      </c>
      <c r="E461">
        <v>0.46019417000000001</v>
      </c>
      <c r="F461">
        <v>0.69631827000000002</v>
      </c>
      <c r="G461">
        <v>1</v>
      </c>
      <c r="H461">
        <v>4694</v>
      </c>
      <c r="I461" t="s">
        <v>2656</v>
      </c>
      <c r="M461" s="227" t="s">
        <v>2655</v>
      </c>
      <c r="N461" s="227">
        <v>178</v>
      </c>
      <c r="O461" s="227">
        <v>0.23033991000000001</v>
      </c>
      <c r="P461" s="227">
        <v>1.0027531000000001</v>
      </c>
      <c r="Q461" s="227">
        <v>0.46019417000000001</v>
      </c>
      <c r="R461" s="227">
        <v>0.69631827000000002</v>
      </c>
      <c r="S461" s="227">
        <v>1</v>
      </c>
      <c r="T461" s="227">
        <v>4694</v>
      </c>
      <c r="U461" s="227" t="s">
        <v>2656</v>
      </c>
    </row>
    <row r="462" spans="1:21" x14ac:dyDescent="0.25">
      <c r="A462" t="s">
        <v>2657</v>
      </c>
      <c r="B462">
        <v>37</v>
      </c>
      <c r="C462">
        <v>0.35672547999999998</v>
      </c>
      <c r="D462">
        <v>1.0002114</v>
      </c>
      <c r="E462">
        <v>0.45471015999999997</v>
      </c>
      <c r="F462">
        <v>0.70004827000000003</v>
      </c>
      <c r="G462">
        <v>1</v>
      </c>
      <c r="H462">
        <v>6576</v>
      </c>
      <c r="I462" t="s">
        <v>2658</v>
      </c>
      <c r="M462" s="227" t="s">
        <v>2657</v>
      </c>
      <c r="N462" s="227">
        <v>37</v>
      </c>
      <c r="O462" s="227">
        <v>0.35672547999999998</v>
      </c>
      <c r="P462" s="227">
        <v>1.0002114</v>
      </c>
      <c r="Q462" s="227">
        <v>0.45471015999999997</v>
      </c>
      <c r="R462" s="227">
        <v>0.70004827000000003</v>
      </c>
      <c r="S462" s="227">
        <v>1</v>
      </c>
      <c r="T462" s="227">
        <v>6576</v>
      </c>
      <c r="U462" s="227" t="s">
        <v>2658</v>
      </c>
    </row>
    <row r="463" spans="1:21" x14ac:dyDescent="0.25">
      <c r="A463" t="s">
        <v>2659</v>
      </c>
      <c r="B463">
        <v>32</v>
      </c>
      <c r="C463">
        <v>0.28411287000000002</v>
      </c>
      <c r="D463">
        <v>0.99942240000000004</v>
      </c>
      <c r="E463">
        <v>0.46628132</v>
      </c>
      <c r="F463">
        <v>0.70013886999999997</v>
      </c>
      <c r="G463">
        <v>1</v>
      </c>
      <c r="H463">
        <v>5251</v>
      </c>
      <c r="I463" t="s">
        <v>2660</v>
      </c>
      <c r="M463" s="227" t="s">
        <v>2659</v>
      </c>
      <c r="N463" s="227">
        <v>32</v>
      </c>
      <c r="O463" s="227">
        <v>0.28411287000000002</v>
      </c>
      <c r="P463" s="227">
        <v>0.99942240000000004</v>
      </c>
      <c r="Q463" s="227">
        <v>0.46628132</v>
      </c>
      <c r="R463" s="227">
        <v>0.70013886999999997</v>
      </c>
      <c r="S463" s="227">
        <v>1</v>
      </c>
      <c r="T463" s="227">
        <v>5251</v>
      </c>
      <c r="U463" s="227" t="s">
        <v>2660</v>
      </c>
    </row>
    <row r="464" spans="1:21" x14ac:dyDescent="0.25">
      <c r="A464" t="s">
        <v>2661</v>
      </c>
      <c r="B464">
        <v>24</v>
      </c>
      <c r="C464">
        <v>0.38320937999999999</v>
      </c>
      <c r="D464">
        <v>0.99923039999999996</v>
      </c>
      <c r="E464">
        <v>0.4755877</v>
      </c>
      <c r="F464">
        <v>0.69907269999999999</v>
      </c>
      <c r="G464">
        <v>1</v>
      </c>
      <c r="H464">
        <v>6378</v>
      </c>
      <c r="I464" t="s">
        <v>2662</v>
      </c>
      <c r="M464" s="227" t="s">
        <v>2661</v>
      </c>
      <c r="N464" s="227">
        <v>24</v>
      </c>
      <c r="O464" s="227">
        <v>0.38320937999999999</v>
      </c>
      <c r="P464" s="227">
        <v>0.99923039999999996</v>
      </c>
      <c r="Q464" s="227">
        <v>0.4755877</v>
      </c>
      <c r="R464" s="227">
        <v>0.69907269999999999</v>
      </c>
      <c r="S464" s="227">
        <v>1</v>
      </c>
      <c r="T464" s="227">
        <v>6378</v>
      </c>
      <c r="U464" s="227" t="s">
        <v>2662</v>
      </c>
    </row>
    <row r="465" spans="1:21" x14ac:dyDescent="0.25">
      <c r="A465" t="s">
        <v>2663</v>
      </c>
      <c r="B465">
        <v>35</v>
      </c>
      <c r="C465">
        <v>0.28268757</v>
      </c>
      <c r="D465">
        <v>0.99844659999999996</v>
      </c>
      <c r="E465">
        <v>0.44467213999999999</v>
      </c>
      <c r="F465">
        <v>0.69932000000000005</v>
      </c>
      <c r="G465">
        <v>1</v>
      </c>
      <c r="H465">
        <v>7117</v>
      </c>
      <c r="I465" t="s">
        <v>2664</v>
      </c>
      <c r="M465" s="227" t="s">
        <v>2663</v>
      </c>
      <c r="N465" s="227">
        <v>35</v>
      </c>
      <c r="O465" s="227">
        <v>0.28268757</v>
      </c>
      <c r="P465" s="227">
        <v>0.99844659999999996</v>
      </c>
      <c r="Q465" s="227">
        <v>0.44467213999999999</v>
      </c>
      <c r="R465" s="227">
        <v>0.69932000000000005</v>
      </c>
      <c r="S465" s="227">
        <v>1</v>
      </c>
      <c r="T465" s="227">
        <v>7117</v>
      </c>
      <c r="U465" s="227" t="s">
        <v>2664</v>
      </c>
    </row>
    <row r="466" spans="1:21" x14ac:dyDescent="0.25">
      <c r="A466" t="s">
        <v>2665</v>
      </c>
      <c r="B466">
        <v>18</v>
      </c>
      <c r="C466">
        <v>0.33434049999999998</v>
      </c>
      <c r="D466">
        <v>0.99813585999999999</v>
      </c>
      <c r="E466">
        <v>0.45579567999999998</v>
      </c>
      <c r="F466">
        <v>0.69843966000000002</v>
      </c>
      <c r="G466">
        <v>1</v>
      </c>
      <c r="H466">
        <v>3613</v>
      </c>
      <c r="I466" t="s">
        <v>2666</v>
      </c>
      <c r="M466" s="227" t="s">
        <v>2665</v>
      </c>
      <c r="N466" s="227">
        <v>18</v>
      </c>
      <c r="O466" s="227">
        <v>0.33434049999999998</v>
      </c>
      <c r="P466" s="227">
        <v>0.99813585999999999</v>
      </c>
      <c r="Q466" s="227">
        <v>0.45579567999999998</v>
      </c>
      <c r="R466" s="227">
        <v>0.69843966000000002</v>
      </c>
      <c r="S466" s="227">
        <v>1</v>
      </c>
      <c r="T466" s="227">
        <v>3613</v>
      </c>
      <c r="U466" s="227" t="s">
        <v>2666</v>
      </c>
    </row>
    <row r="467" spans="1:21" x14ac:dyDescent="0.25">
      <c r="A467" t="s">
        <v>2667</v>
      </c>
      <c r="B467">
        <v>48</v>
      </c>
      <c r="C467">
        <v>0.33327810000000002</v>
      </c>
      <c r="D467">
        <v>0.99760550000000003</v>
      </c>
      <c r="E467">
        <v>0.4731978</v>
      </c>
      <c r="F467">
        <v>0.69798729999999998</v>
      </c>
      <c r="G467">
        <v>1</v>
      </c>
      <c r="H467">
        <v>6257</v>
      </c>
      <c r="I467" t="s">
        <v>2668</v>
      </c>
      <c r="M467" s="227" t="s">
        <v>2667</v>
      </c>
      <c r="N467" s="227">
        <v>48</v>
      </c>
      <c r="O467" s="227">
        <v>0.33327810000000002</v>
      </c>
      <c r="P467" s="227">
        <v>0.99760550000000003</v>
      </c>
      <c r="Q467" s="227">
        <v>0.4731978</v>
      </c>
      <c r="R467" s="227">
        <v>0.69798729999999998</v>
      </c>
      <c r="S467" s="227">
        <v>1</v>
      </c>
      <c r="T467" s="227">
        <v>6257</v>
      </c>
      <c r="U467" s="227" t="s">
        <v>2668</v>
      </c>
    </row>
    <row r="468" spans="1:21" x14ac:dyDescent="0.25">
      <c r="A468" t="s">
        <v>2669</v>
      </c>
      <c r="B468">
        <v>313</v>
      </c>
      <c r="C468">
        <v>0.19290463999999999</v>
      </c>
      <c r="D468">
        <v>0.99539082999999995</v>
      </c>
      <c r="E468">
        <v>0.47256637000000001</v>
      </c>
      <c r="F468">
        <v>0.70097834000000003</v>
      </c>
      <c r="G468">
        <v>1</v>
      </c>
      <c r="H468">
        <v>3500</v>
      </c>
      <c r="I468" t="s">
        <v>2670</v>
      </c>
      <c r="M468" s="227" t="s">
        <v>2669</v>
      </c>
      <c r="N468" s="227">
        <v>313</v>
      </c>
      <c r="O468" s="227">
        <v>0.19290463999999999</v>
      </c>
      <c r="P468" s="227">
        <v>0.99539082999999995</v>
      </c>
      <c r="Q468" s="227">
        <v>0.47256637000000001</v>
      </c>
      <c r="R468" s="227">
        <v>0.70097834000000003</v>
      </c>
      <c r="S468" s="227">
        <v>1</v>
      </c>
      <c r="T468" s="227">
        <v>3500</v>
      </c>
      <c r="U468" s="227" t="s">
        <v>2670</v>
      </c>
    </row>
    <row r="469" spans="1:21" x14ac:dyDescent="0.25">
      <c r="A469" t="s">
        <v>2671</v>
      </c>
      <c r="B469">
        <v>439</v>
      </c>
      <c r="C469">
        <v>0.20271552000000001</v>
      </c>
      <c r="D469">
        <v>0.99472570000000005</v>
      </c>
      <c r="E469">
        <v>0.46050096000000001</v>
      </c>
      <c r="F469">
        <v>0.70096519999999995</v>
      </c>
      <c r="G469">
        <v>1</v>
      </c>
      <c r="H469">
        <v>4375</v>
      </c>
      <c r="I469" t="s">
        <v>2672</v>
      </c>
      <c r="M469" s="227" t="s">
        <v>2671</v>
      </c>
      <c r="N469" s="227">
        <v>439</v>
      </c>
      <c r="O469" s="227">
        <v>0.20271552000000001</v>
      </c>
      <c r="P469" s="227">
        <v>0.99472570000000005</v>
      </c>
      <c r="Q469" s="227">
        <v>0.46050096000000001</v>
      </c>
      <c r="R469" s="227">
        <v>0.70096519999999995</v>
      </c>
      <c r="S469" s="227">
        <v>1</v>
      </c>
      <c r="T469" s="227">
        <v>4375</v>
      </c>
      <c r="U469" s="227" t="s">
        <v>2672</v>
      </c>
    </row>
    <row r="470" spans="1:21" x14ac:dyDescent="0.25">
      <c r="A470" t="s">
        <v>2673</v>
      </c>
      <c r="B470">
        <v>439</v>
      </c>
      <c r="C470">
        <v>0.20271552000000001</v>
      </c>
      <c r="D470">
        <v>0.99472570000000005</v>
      </c>
      <c r="E470">
        <v>0.46050096000000001</v>
      </c>
      <c r="F470">
        <v>0.69947060000000005</v>
      </c>
      <c r="G470">
        <v>1</v>
      </c>
      <c r="H470">
        <v>4375</v>
      </c>
      <c r="I470" t="s">
        <v>2672</v>
      </c>
      <c r="M470" s="227" t="s">
        <v>2673</v>
      </c>
      <c r="N470" s="227">
        <v>439</v>
      </c>
      <c r="O470" s="227">
        <v>0.20271552000000001</v>
      </c>
      <c r="P470" s="227">
        <v>0.99472570000000005</v>
      </c>
      <c r="Q470" s="227">
        <v>0.46050096000000001</v>
      </c>
      <c r="R470" s="227">
        <v>0.69947060000000005</v>
      </c>
      <c r="S470" s="227">
        <v>1</v>
      </c>
      <c r="T470" s="227">
        <v>4375</v>
      </c>
      <c r="U470" s="227" t="s">
        <v>2672</v>
      </c>
    </row>
    <row r="471" spans="1:21" x14ac:dyDescent="0.25">
      <c r="A471" t="s">
        <v>2674</v>
      </c>
      <c r="B471">
        <v>338</v>
      </c>
      <c r="C471">
        <v>0.23075624</v>
      </c>
      <c r="D471">
        <v>0.99435085000000001</v>
      </c>
      <c r="E471">
        <v>0.47026023</v>
      </c>
      <c r="F471">
        <v>0.69867469999999998</v>
      </c>
      <c r="G471">
        <v>1</v>
      </c>
      <c r="H471">
        <v>6715</v>
      </c>
      <c r="I471" t="s">
        <v>2675</v>
      </c>
      <c r="M471" s="227" t="s">
        <v>2674</v>
      </c>
      <c r="N471" s="227">
        <v>338</v>
      </c>
      <c r="O471" s="227">
        <v>0.23075624</v>
      </c>
      <c r="P471" s="227">
        <v>0.99435085000000001</v>
      </c>
      <c r="Q471" s="227">
        <v>0.47026023</v>
      </c>
      <c r="R471" s="227">
        <v>0.69867469999999998</v>
      </c>
      <c r="S471" s="227">
        <v>1</v>
      </c>
      <c r="T471" s="227">
        <v>6715</v>
      </c>
      <c r="U471" s="227" t="s">
        <v>2675</v>
      </c>
    </row>
    <row r="472" spans="1:21" x14ac:dyDescent="0.25">
      <c r="A472" t="s">
        <v>2676</v>
      </c>
      <c r="B472">
        <v>34</v>
      </c>
      <c r="C472">
        <v>0.3655234</v>
      </c>
      <c r="D472">
        <v>0.99398299999999995</v>
      </c>
      <c r="E472">
        <v>0.48561149999999997</v>
      </c>
      <c r="F472">
        <v>0.69794659999999997</v>
      </c>
      <c r="G472">
        <v>1</v>
      </c>
      <c r="H472">
        <v>6576</v>
      </c>
      <c r="I472" t="s">
        <v>2677</v>
      </c>
      <c r="M472" s="227" t="s">
        <v>2676</v>
      </c>
      <c r="N472" s="227">
        <v>34</v>
      </c>
      <c r="O472" s="227">
        <v>0.3655234</v>
      </c>
      <c r="P472" s="227">
        <v>0.99398299999999995</v>
      </c>
      <c r="Q472" s="227">
        <v>0.48561149999999997</v>
      </c>
      <c r="R472" s="227">
        <v>0.69794659999999997</v>
      </c>
      <c r="S472" s="227">
        <v>1</v>
      </c>
      <c r="T472" s="227">
        <v>6576</v>
      </c>
      <c r="U472" s="227" t="s">
        <v>2677</v>
      </c>
    </row>
    <row r="473" spans="1:21" x14ac:dyDescent="0.25">
      <c r="A473" t="s">
        <v>2678</v>
      </c>
      <c r="B473">
        <v>384</v>
      </c>
      <c r="C473">
        <v>0.22025433</v>
      </c>
      <c r="D473">
        <v>0.99342379999999997</v>
      </c>
      <c r="E473">
        <v>0.48114901999999998</v>
      </c>
      <c r="F473">
        <v>0.69753485999999998</v>
      </c>
      <c r="G473">
        <v>1</v>
      </c>
      <c r="H473">
        <v>5707</v>
      </c>
      <c r="I473" t="s">
        <v>2679</v>
      </c>
      <c r="M473" s="227" t="s">
        <v>2678</v>
      </c>
      <c r="N473" s="227">
        <v>384</v>
      </c>
      <c r="O473" s="227">
        <v>0.22025433</v>
      </c>
      <c r="P473" s="227">
        <v>0.99342379999999997</v>
      </c>
      <c r="Q473" s="227">
        <v>0.48114901999999998</v>
      </c>
      <c r="R473" s="227">
        <v>0.69753485999999998</v>
      </c>
      <c r="S473" s="227">
        <v>1</v>
      </c>
      <c r="T473" s="227">
        <v>5707</v>
      </c>
      <c r="U473" s="227" t="s">
        <v>2679</v>
      </c>
    </row>
    <row r="474" spans="1:21" x14ac:dyDescent="0.25">
      <c r="A474" t="s">
        <v>2680</v>
      </c>
      <c r="B474">
        <v>15</v>
      </c>
      <c r="C474">
        <v>0.38630944</v>
      </c>
      <c r="D474">
        <v>0.99300635000000004</v>
      </c>
      <c r="E474">
        <v>0.45908183000000002</v>
      </c>
      <c r="F474">
        <v>0.69695700000000005</v>
      </c>
      <c r="G474">
        <v>1</v>
      </c>
      <c r="H474">
        <v>1171</v>
      </c>
      <c r="I474" t="s">
        <v>2681</v>
      </c>
      <c r="M474" s="227" t="s">
        <v>2680</v>
      </c>
      <c r="N474" s="227">
        <v>15</v>
      </c>
      <c r="O474" s="227">
        <v>0.38630944</v>
      </c>
      <c r="P474" s="227">
        <v>0.99300635000000004</v>
      </c>
      <c r="Q474" s="227">
        <v>0.45908183000000002</v>
      </c>
      <c r="R474" s="227">
        <v>0.69695700000000005</v>
      </c>
      <c r="S474" s="227">
        <v>1</v>
      </c>
      <c r="T474" s="227">
        <v>1171</v>
      </c>
      <c r="U474" s="227" t="s">
        <v>2681</v>
      </c>
    </row>
    <row r="475" spans="1:21" x14ac:dyDescent="0.25">
      <c r="A475" t="s">
        <v>2682</v>
      </c>
      <c r="B475">
        <v>19</v>
      </c>
      <c r="C475">
        <v>0.41702922999999997</v>
      </c>
      <c r="D475">
        <v>0.99171949999999998</v>
      </c>
      <c r="E475">
        <v>0.49462366000000002</v>
      </c>
      <c r="F475">
        <v>0.69827090000000003</v>
      </c>
      <c r="G475">
        <v>1</v>
      </c>
      <c r="H475">
        <v>6270</v>
      </c>
      <c r="I475" t="s">
        <v>2683</v>
      </c>
      <c r="M475" s="227" t="s">
        <v>2682</v>
      </c>
      <c r="N475" s="227">
        <v>19</v>
      </c>
      <c r="O475" s="227">
        <v>0.41702922999999997</v>
      </c>
      <c r="P475" s="227">
        <v>0.99171949999999998</v>
      </c>
      <c r="Q475" s="227">
        <v>0.49462366000000002</v>
      </c>
      <c r="R475" s="227">
        <v>0.69827090000000003</v>
      </c>
      <c r="S475" s="227">
        <v>1</v>
      </c>
      <c r="T475" s="227">
        <v>6270</v>
      </c>
      <c r="U475" s="227" t="s">
        <v>2683</v>
      </c>
    </row>
    <row r="476" spans="1:21" x14ac:dyDescent="0.25">
      <c r="A476" t="s">
        <v>2684</v>
      </c>
      <c r="B476">
        <v>23</v>
      </c>
      <c r="C476">
        <v>0.31706192999999999</v>
      </c>
      <c r="D476">
        <v>0.99126464000000003</v>
      </c>
      <c r="E476">
        <v>0.47177419999999998</v>
      </c>
      <c r="F476">
        <v>0.69767535000000003</v>
      </c>
      <c r="G476">
        <v>1</v>
      </c>
      <c r="H476">
        <v>2334</v>
      </c>
      <c r="I476" t="s">
        <v>2024</v>
      </c>
      <c r="M476" s="227" t="s">
        <v>2684</v>
      </c>
      <c r="N476" s="227">
        <v>23</v>
      </c>
      <c r="O476" s="227">
        <v>0.31706192999999999</v>
      </c>
      <c r="P476" s="227">
        <v>0.99126464000000003</v>
      </c>
      <c r="Q476" s="227">
        <v>0.47177419999999998</v>
      </c>
      <c r="R476" s="227">
        <v>0.69767535000000003</v>
      </c>
      <c r="S476" s="227">
        <v>1</v>
      </c>
      <c r="T476" s="227">
        <v>2334</v>
      </c>
      <c r="U476" s="227" t="s">
        <v>2024</v>
      </c>
    </row>
    <row r="477" spans="1:21" x14ac:dyDescent="0.25">
      <c r="A477" t="s">
        <v>2685</v>
      </c>
      <c r="B477">
        <v>267</v>
      </c>
      <c r="C477">
        <v>0.19216675</v>
      </c>
      <c r="D477">
        <v>0.9862609</v>
      </c>
      <c r="E477">
        <v>0.48591548000000001</v>
      </c>
      <c r="F477">
        <v>0.70640139999999996</v>
      </c>
      <c r="G477">
        <v>1</v>
      </c>
      <c r="H477">
        <v>3326</v>
      </c>
      <c r="I477" t="s">
        <v>2686</v>
      </c>
      <c r="M477" s="227" t="s">
        <v>2685</v>
      </c>
      <c r="N477" s="227">
        <v>267</v>
      </c>
      <c r="O477" s="227">
        <v>0.19216675</v>
      </c>
      <c r="P477" s="227">
        <v>0.9862609</v>
      </c>
      <c r="Q477" s="227">
        <v>0.48591548000000001</v>
      </c>
      <c r="R477" s="227">
        <v>0.70640139999999996</v>
      </c>
      <c r="S477" s="227">
        <v>1</v>
      </c>
      <c r="T477" s="227">
        <v>3326</v>
      </c>
      <c r="U477" s="227" t="s">
        <v>2686</v>
      </c>
    </row>
    <row r="478" spans="1:21" x14ac:dyDescent="0.25">
      <c r="A478" t="s">
        <v>2687</v>
      </c>
      <c r="B478">
        <v>294</v>
      </c>
      <c r="C478">
        <v>0.18893966000000001</v>
      </c>
      <c r="D478">
        <v>0.98532889999999995</v>
      </c>
      <c r="E478">
        <v>0.49629630000000002</v>
      </c>
      <c r="F478">
        <v>0.70686320000000002</v>
      </c>
      <c r="G478">
        <v>1</v>
      </c>
      <c r="H478">
        <v>4729</v>
      </c>
      <c r="I478" t="s">
        <v>2688</v>
      </c>
      <c r="M478" s="227" t="s">
        <v>2687</v>
      </c>
      <c r="N478" s="227">
        <v>294</v>
      </c>
      <c r="O478" s="227">
        <v>0.18893966000000001</v>
      </c>
      <c r="P478" s="227">
        <v>0.98532889999999995</v>
      </c>
      <c r="Q478" s="227">
        <v>0.49629630000000002</v>
      </c>
      <c r="R478" s="227">
        <v>0.70686320000000002</v>
      </c>
      <c r="S478" s="227">
        <v>1</v>
      </c>
      <c r="T478" s="227">
        <v>4729</v>
      </c>
      <c r="U478" s="227" t="s">
        <v>2688</v>
      </c>
    </row>
    <row r="479" spans="1:21" x14ac:dyDescent="0.25">
      <c r="A479" t="s">
        <v>2689</v>
      </c>
      <c r="B479">
        <v>105</v>
      </c>
      <c r="C479">
        <v>0.21204759000000001</v>
      </c>
      <c r="D479">
        <v>0.98331179999999996</v>
      </c>
      <c r="E479">
        <v>0.49418603999999999</v>
      </c>
      <c r="F479">
        <v>0.70971119999999999</v>
      </c>
      <c r="G479">
        <v>1</v>
      </c>
      <c r="H479">
        <v>5159</v>
      </c>
      <c r="I479" t="s">
        <v>2495</v>
      </c>
      <c r="M479" s="227" t="s">
        <v>2689</v>
      </c>
      <c r="N479" s="227">
        <v>105</v>
      </c>
      <c r="O479" s="227">
        <v>0.21204759000000001</v>
      </c>
      <c r="P479" s="227">
        <v>0.98331179999999996</v>
      </c>
      <c r="Q479" s="227">
        <v>0.49418603999999999</v>
      </c>
      <c r="R479" s="227">
        <v>0.70971119999999999</v>
      </c>
      <c r="S479" s="227">
        <v>1</v>
      </c>
      <c r="T479" s="227">
        <v>5159</v>
      </c>
      <c r="U479" s="227" t="s">
        <v>2495</v>
      </c>
    </row>
    <row r="480" spans="1:21" x14ac:dyDescent="0.25">
      <c r="A480" t="s">
        <v>2690</v>
      </c>
      <c r="B480">
        <v>118</v>
      </c>
      <c r="C480">
        <v>0.2288955</v>
      </c>
      <c r="D480">
        <v>0.98258610000000002</v>
      </c>
      <c r="E480">
        <v>0.47519085</v>
      </c>
      <c r="F480">
        <v>0.70971169999999995</v>
      </c>
      <c r="G480">
        <v>1</v>
      </c>
      <c r="H480">
        <v>4150</v>
      </c>
      <c r="I480" t="s">
        <v>2691</v>
      </c>
      <c r="M480" s="227" t="s">
        <v>2690</v>
      </c>
      <c r="N480" s="227">
        <v>118</v>
      </c>
      <c r="O480" s="227">
        <v>0.2288955</v>
      </c>
      <c r="P480" s="227">
        <v>0.98258610000000002</v>
      </c>
      <c r="Q480" s="227">
        <v>0.47519085</v>
      </c>
      <c r="R480" s="227">
        <v>0.70971169999999995</v>
      </c>
      <c r="S480" s="227">
        <v>1</v>
      </c>
      <c r="T480" s="227">
        <v>4150</v>
      </c>
      <c r="U480" s="227" t="s">
        <v>2691</v>
      </c>
    </row>
    <row r="481" spans="1:21" x14ac:dyDescent="0.25">
      <c r="A481" t="s">
        <v>2692</v>
      </c>
      <c r="B481">
        <v>25</v>
      </c>
      <c r="C481">
        <v>0.33336114999999999</v>
      </c>
      <c r="D481">
        <v>0.98203989999999997</v>
      </c>
      <c r="E481">
        <v>0.47505423000000002</v>
      </c>
      <c r="F481">
        <v>0.70946699999999996</v>
      </c>
      <c r="G481">
        <v>1</v>
      </c>
      <c r="H481">
        <v>2815</v>
      </c>
      <c r="I481" t="s">
        <v>2054</v>
      </c>
      <c r="M481" s="227" t="s">
        <v>2692</v>
      </c>
      <c r="N481" s="227">
        <v>25</v>
      </c>
      <c r="O481" s="227">
        <v>0.33336114999999999</v>
      </c>
      <c r="P481" s="227">
        <v>0.98203989999999997</v>
      </c>
      <c r="Q481" s="227">
        <v>0.47505423000000002</v>
      </c>
      <c r="R481" s="227">
        <v>0.70946699999999996</v>
      </c>
      <c r="S481" s="227">
        <v>1</v>
      </c>
      <c r="T481" s="227">
        <v>2815</v>
      </c>
      <c r="U481" s="227" t="s">
        <v>2054</v>
      </c>
    </row>
    <row r="482" spans="1:21" x14ac:dyDescent="0.25">
      <c r="A482" t="s">
        <v>2693</v>
      </c>
      <c r="B482">
        <v>17</v>
      </c>
      <c r="C482">
        <v>0.37543707999999998</v>
      </c>
      <c r="D482">
        <v>0.98104080000000005</v>
      </c>
      <c r="E482">
        <v>0.47731753999999998</v>
      </c>
      <c r="F482">
        <v>0.71019392999999997</v>
      </c>
      <c r="G482">
        <v>1</v>
      </c>
      <c r="H482">
        <v>3128</v>
      </c>
      <c r="I482" t="s">
        <v>2694</v>
      </c>
      <c r="M482" s="227" t="s">
        <v>2693</v>
      </c>
      <c r="N482" s="227">
        <v>17</v>
      </c>
      <c r="O482" s="227">
        <v>0.37543707999999998</v>
      </c>
      <c r="P482" s="227">
        <v>0.98104080000000005</v>
      </c>
      <c r="Q482" s="227">
        <v>0.47731753999999998</v>
      </c>
      <c r="R482" s="227">
        <v>0.71019392999999997</v>
      </c>
      <c r="S482" s="227">
        <v>1</v>
      </c>
      <c r="T482" s="227">
        <v>3128</v>
      </c>
      <c r="U482" s="227" t="s">
        <v>2694</v>
      </c>
    </row>
    <row r="483" spans="1:21" x14ac:dyDescent="0.25">
      <c r="A483" t="s">
        <v>2695</v>
      </c>
      <c r="B483">
        <v>55</v>
      </c>
      <c r="C483">
        <v>0.27529989999999999</v>
      </c>
      <c r="D483">
        <v>0.97992500000000005</v>
      </c>
      <c r="E483">
        <v>0.4581749</v>
      </c>
      <c r="F483">
        <v>0.71102220000000005</v>
      </c>
      <c r="G483">
        <v>1</v>
      </c>
      <c r="H483">
        <v>5779</v>
      </c>
      <c r="I483" t="s">
        <v>2362</v>
      </c>
      <c r="M483" s="227" t="s">
        <v>2695</v>
      </c>
      <c r="N483" s="227">
        <v>55</v>
      </c>
      <c r="O483" s="227">
        <v>0.27529989999999999</v>
      </c>
      <c r="P483" s="227">
        <v>0.97992500000000005</v>
      </c>
      <c r="Q483" s="227">
        <v>0.4581749</v>
      </c>
      <c r="R483" s="227">
        <v>0.71102220000000005</v>
      </c>
      <c r="S483" s="227">
        <v>1</v>
      </c>
      <c r="T483" s="227">
        <v>5779</v>
      </c>
      <c r="U483" s="227" t="s">
        <v>2362</v>
      </c>
    </row>
    <row r="484" spans="1:21" x14ac:dyDescent="0.25">
      <c r="A484" t="s">
        <v>2696</v>
      </c>
      <c r="B484">
        <v>161</v>
      </c>
      <c r="C484">
        <v>0.26157515999999997</v>
      </c>
      <c r="D484">
        <v>0.97907379999999999</v>
      </c>
      <c r="E484">
        <v>0.46837943999999998</v>
      </c>
      <c r="F484">
        <v>0.71126555999999996</v>
      </c>
      <c r="G484">
        <v>1</v>
      </c>
      <c r="H484">
        <v>4860</v>
      </c>
      <c r="I484" t="s">
        <v>2503</v>
      </c>
      <c r="M484" s="227" t="s">
        <v>2696</v>
      </c>
      <c r="N484" s="227">
        <v>161</v>
      </c>
      <c r="O484" s="227">
        <v>0.26157515999999997</v>
      </c>
      <c r="P484" s="227">
        <v>0.97907379999999999</v>
      </c>
      <c r="Q484" s="227">
        <v>0.46837943999999998</v>
      </c>
      <c r="R484" s="227">
        <v>0.71126555999999996</v>
      </c>
      <c r="S484" s="227">
        <v>1</v>
      </c>
      <c r="T484" s="227">
        <v>4860</v>
      </c>
      <c r="U484" s="227" t="s">
        <v>2503</v>
      </c>
    </row>
    <row r="485" spans="1:21" x14ac:dyDescent="0.25">
      <c r="A485" t="s">
        <v>2697</v>
      </c>
      <c r="B485">
        <v>133</v>
      </c>
      <c r="C485">
        <v>0.22939003999999999</v>
      </c>
      <c r="D485">
        <v>0.97868560000000004</v>
      </c>
      <c r="E485">
        <v>0.47058823999999999</v>
      </c>
      <c r="F485">
        <v>0.71062559999999997</v>
      </c>
      <c r="G485">
        <v>1</v>
      </c>
      <c r="H485">
        <v>5380</v>
      </c>
      <c r="I485" t="s">
        <v>2358</v>
      </c>
      <c r="M485" s="227" t="s">
        <v>2697</v>
      </c>
      <c r="N485" s="227">
        <v>133</v>
      </c>
      <c r="O485" s="227">
        <v>0.22939003999999999</v>
      </c>
      <c r="P485" s="227">
        <v>0.97868560000000004</v>
      </c>
      <c r="Q485" s="227">
        <v>0.47058823999999999</v>
      </c>
      <c r="R485" s="227">
        <v>0.71062559999999997</v>
      </c>
      <c r="S485" s="227">
        <v>1</v>
      </c>
      <c r="T485" s="227">
        <v>5380</v>
      </c>
      <c r="U485" s="227" t="s">
        <v>2358</v>
      </c>
    </row>
    <row r="486" spans="1:21" x14ac:dyDescent="0.25">
      <c r="A486" t="s">
        <v>2698</v>
      </c>
      <c r="B486">
        <v>117</v>
      </c>
      <c r="C486">
        <v>0.21645813</v>
      </c>
      <c r="D486">
        <v>0.97615795999999999</v>
      </c>
      <c r="E486">
        <v>0.49721705999999999</v>
      </c>
      <c r="F486">
        <v>0.71442740000000005</v>
      </c>
      <c r="G486">
        <v>1</v>
      </c>
      <c r="H486">
        <v>5498</v>
      </c>
      <c r="I486" t="s">
        <v>2699</v>
      </c>
      <c r="M486" s="227" t="s">
        <v>2698</v>
      </c>
      <c r="N486" s="227">
        <v>117</v>
      </c>
      <c r="O486" s="227">
        <v>0.21645813</v>
      </c>
      <c r="P486" s="227">
        <v>0.97615795999999999</v>
      </c>
      <c r="Q486" s="227">
        <v>0.49721705999999999</v>
      </c>
      <c r="R486" s="227">
        <v>0.71442740000000005</v>
      </c>
      <c r="S486" s="227">
        <v>1</v>
      </c>
      <c r="T486" s="227">
        <v>5498</v>
      </c>
      <c r="U486" s="227" t="s">
        <v>2699</v>
      </c>
    </row>
    <row r="487" spans="1:21" x14ac:dyDescent="0.25">
      <c r="A487" t="s">
        <v>2700</v>
      </c>
      <c r="B487">
        <v>303</v>
      </c>
      <c r="C487">
        <v>0.23147823000000001</v>
      </c>
      <c r="D487">
        <v>0.97355499999999995</v>
      </c>
      <c r="E487">
        <v>0.47184467000000002</v>
      </c>
      <c r="F487">
        <v>0.71848069999999997</v>
      </c>
      <c r="G487">
        <v>1</v>
      </c>
      <c r="H487">
        <v>4860</v>
      </c>
      <c r="I487" t="s">
        <v>2701</v>
      </c>
      <c r="M487" s="227" t="s">
        <v>2700</v>
      </c>
      <c r="N487" s="227">
        <v>303</v>
      </c>
      <c r="O487" s="227">
        <v>0.23147823000000001</v>
      </c>
      <c r="P487" s="227">
        <v>0.97355499999999995</v>
      </c>
      <c r="Q487" s="227">
        <v>0.47184467000000002</v>
      </c>
      <c r="R487" s="227">
        <v>0.71848069999999997</v>
      </c>
      <c r="S487" s="227">
        <v>1</v>
      </c>
      <c r="T487" s="227">
        <v>4860</v>
      </c>
      <c r="U487" s="227" t="s">
        <v>2701</v>
      </c>
    </row>
    <row r="488" spans="1:21" x14ac:dyDescent="0.25">
      <c r="A488" t="s">
        <v>2702</v>
      </c>
      <c r="B488">
        <v>23</v>
      </c>
      <c r="C488">
        <v>0.32066378000000001</v>
      </c>
      <c r="D488">
        <v>0.97333217000000005</v>
      </c>
      <c r="E488">
        <v>0.51083034000000005</v>
      </c>
      <c r="F488">
        <v>0.71740530000000002</v>
      </c>
      <c r="G488">
        <v>1</v>
      </c>
      <c r="H488">
        <v>6603</v>
      </c>
      <c r="I488" t="s">
        <v>2703</v>
      </c>
      <c r="M488" s="227" t="s">
        <v>2702</v>
      </c>
      <c r="N488" s="227">
        <v>23</v>
      </c>
      <c r="O488" s="227">
        <v>0.32066378000000001</v>
      </c>
      <c r="P488" s="227">
        <v>0.97333217000000005</v>
      </c>
      <c r="Q488" s="227">
        <v>0.51083034000000005</v>
      </c>
      <c r="R488" s="227">
        <v>0.71740530000000002</v>
      </c>
      <c r="S488" s="227">
        <v>1</v>
      </c>
      <c r="T488" s="227">
        <v>6603</v>
      </c>
      <c r="U488" s="227" t="s">
        <v>2703</v>
      </c>
    </row>
    <row r="489" spans="1:21" x14ac:dyDescent="0.25">
      <c r="A489" t="s">
        <v>2704</v>
      </c>
      <c r="B489">
        <v>23</v>
      </c>
      <c r="C489">
        <v>0.34242052000000001</v>
      </c>
      <c r="D489">
        <v>0.97190500000000002</v>
      </c>
      <c r="E489">
        <v>0.49907234</v>
      </c>
      <c r="F489">
        <v>0.71877365999999998</v>
      </c>
      <c r="G489">
        <v>1</v>
      </c>
      <c r="H489">
        <v>6603</v>
      </c>
      <c r="I489" t="s">
        <v>2703</v>
      </c>
      <c r="M489" s="227" t="s">
        <v>2704</v>
      </c>
      <c r="N489" s="227">
        <v>23</v>
      </c>
      <c r="O489" s="227">
        <v>0.34242052000000001</v>
      </c>
      <c r="P489" s="227">
        <v>0.97190500000000002</v>
      </c>
      <c r="Q489" s="227">
        <v>0.49907234</v>
      </c>
      <c r="R489" s="227">
        <v>0.71877365999999998</v>
      </c>
      <c r="S489" s="227">
        <v>1</v>
      </c>
      <c r="T489" s="227">
        <v>6603</v>
      </c>
      <c r="U489" s="227" t="s">
        <v>2703</v>
      </c>
    </row>
    <row r="490" spans="1:21" x14ac:dyDescent="0.25">
      <c r="A490" t="s">
        <v>2705</v>
      </c>
      <c r="B490">
        <v>15</v>
      </c>
      <c r="C490">
        <v>0.40806340000000002</v>
      </c>
      <c r="D490">
        <v>0.97037476</v>
      </c>
      <c r="E490">
        <v>0.51992755999999996</v>
      </c>
      <c r="F490">
        <v>0.72048867000000005</v>
      </c>
      <c r="G490">
        <v>1</v>
      </c>
      <c r="H490">
        <v>5183</v>
      </c>
      <c r="I490" t="s">
        <v>2418</v>
      </c>
      <c r="M490" s="227" t="s">
        <v>2705</v>
      </c>
      <c r="N490" s="227">
        <v>15</v>
      </c>
      <c r="O490" s="227">
        <v>0.40806340000000002</v>
      </c>
      <c r="P490" s="227">
        <v>0.97037476</v>
      </c>
      <c r="Q490" s="227">
        <v>0.51992755999999996</v>
      </c>
      <c r="R490" s="227">
        <v>0.72048867000000005</v>
      </c>
      <c r="S490" s="227">
        <v>1</v>
      </c>
      <c r="T490" s="227">
        <v>5183</v>
      </c>
      <c r="U490" s="227" t="s">
        <v>2418</v>
      </c>
    </row>
    <row r="491" spans="1:21" x14ac:dyDescent="0.25">
      <c r="A491" t="s">
        <v>2706</v>
      </c>
      <c r="B491">
        <v>15</v>
      </c>
      <c r="C491">
        <v>0.35311910000000002</v>
      </c>
      <c r="D491">
        <v>0.96967124999999998</v>
      </c>
      <c r="E491">
        <v>0.49818839999999998</v>
      </c>
      <c r="F491">
        <v>0.72048570000000001</v>
      </c>
      <c r="G491">
        <v>1</v>
      </c>
      <c r="H491">
        <v>6542</v>
      </c>
      <c r="I491" t="s">
        <v>2707</v>
      </c>
      <c r="M491" s="227" t="s">
        <v>2706</v>
      </c>
      <c r="N491" s="227">
        <v>15</v>
      </c>
      <c r="O491" s="227">
        <v>0.35311910000000002</v>
      </c>
      <c r="P491" s="227">
        <v>0.96967124999999998</v>
      </c>
      <c r="Q491" s="227">
        <v>0.49818839999999998</v>
      </c>
      <c r="R491" s="227">
        <v>0.72048570000000001</v>
      </c>
      <c r="S491" s="227">
        <v>1</v>
      </c>
      <c r="T491" s="227">
        <v>6542</v>
      </c>
      <c r="U491" s="227" t="s">
        <v>2707</v>
      </c>
    </row>
    <row r="492" spans="1:21" x14ac:dyDescent="0.25">
      <c r="A492" t="s">
        <v>2708</v>
      </c>
      <c r="B492">
        <v>215</v>
      </c>
      <c r="C492">
        <v>0.20600466000000001</v>
      </c>
      <c r="D492">
        <v>0.96809363000000004</v>
      </c>
      <c r="E492">
        <v>0.48406374000000002</v>
      </c>
      <c r="F492">
        <v>0.72229350000000003</v>
      </c>
      <c r="G492">
        <v>1</v>
      </c>
      <c r="H492">
        <v>6586</v>
      </c>
      <c r="I492" t="s">
        <v>2709</v>
      </c>
      <c r="M492" s="227" t="s">
        <v>2708</v>
      </c>
      <c r="N492" s="227">
        <v>215</v>
      </c>
      <c r="O492" s="227">
        <v>0.20600466000000001</v>
      </c>
      <c r="P492" s="227">
        <v>0.96809363000000004</v>
      </c>
      <c r="Q492" s="227">
        <v>0.48406374000000002</v>
      </c>
      <c r="R492" s="227">
        <v>0.72229350000000003</v>
      </c>
      <c r="S492" s="227">
        <v>1</v>
      </c>
      <c r="T492" s="227">
        <v>6586</v>
      </c>
      <c r="U492" s="227" t="s">
        <v>2709</v>
      </c>
    </row>
    <row r="493" spans="1:21" x14ac:dyDescent="0.25">
      <c r="A493" t="s">
        <v>2710</v>
      </c>
      <c r="B493">
        <v>17</v>
      </c>
      <c r="C493">
        <v>0.34595492</v>
      </c>
      <c r="D493">
        <v>0.96566169999999996</v>
      </c>
      <c r="E493">
        <v>0.50272229999999996</v>
      </c>
      <c r="F493">
        <v>0.72584630000000006</v>
      </c>
      <c r="G493">
        <v>1</v>
      </c>
      <c r="H493">
        <v>4797</v>
      </c>
      <c r="I493" t="s">
        <v>2711</v>
      </c>
      <c r="M493" s="227" t="s">
        <v>2710</v>
      </c>
      <c r="N493" s="227">
        <v>17</v>
      </c>
      <c r="O493" s="227">
        <v>0.34595492</v>
      </c>
      <c r="P493" s="227">
        <v>0.96566169999999996</v>
      </c>
      <c r="Q493" s="227">
        <v>0.50272229999999996</v>
      </c>
      <c r="R493" s="227">
        <v>0.72584630000000006</v>
      </c>
      <c r="S493" s="227">
        <v>1</v>
      </c>
      <c r="T493" s="227">
        <v>4797</v>
      </c>
      <c r="U493" s="227" t="s">
        <v>2711</v>
      </c>
    </row>
    <row r="494" spans="1:21" x14ac:dyDescent="0.25">
      <c r="A494" t="s">
        <v>2712</v>
      </c>
      <c r="B494">
        <v>35</v>
      </c>
      <c r="C494">
        <v>0.27884134999999999</v>
      </c>
      <c r="D494">
        <v>0.96478385</v>
      </c>
      <c r="E494">
        <v>0.51351349999999996</v>
      </c>
      <c r="F494">
        <v>0.72625463999999995</v>
      </c>
      <c r="G494">
        <v>1</v>
      </c>
      <c r="H494">
        <v>3392</v>
      </c>
      <c r="I494" t="s">
        <v>2538</v>
      </c>
      <c r="M494" s="227" t="s">
        <v>2712</v>
      </c>
      <c r="N494" s="227">
        <v>35</v>
      </c>
      <c r="O494" s="227">
        <v>0.27884134999999999</v>
      </c>
      <c r="P494" s="227">
        <v>0.96478385</v>
      </c>
      <c r="Q494" s="227">
        <v>0.51351349999999996</v>
      </c>
      <c r="R494" s="227">
        <v>0.72625463999999995</v>
      </c>
      <c r="S494" s="227">
        <v>1</v>
      </c>
      <c r="T494" s="227">
        <v>3392</v>
      </c>
      <c r="U494" s="227" t="s">
        <v>2538</v>
      </c>
    </row>
    <row r="495" spans="1:21" x14ac:dyDescent="0.25">
      <c r="A495" t="s">
        <v>2713</v>
      </c>
      <c r="B495">
        <v>17</v>
      </c>
      <c r="C495">
        <v>0.35704654000000002</v>
      </c>
      <c r="D495">
        <v>0.96192960000000005</v>
      </c>
      <c r="E495">
        <v>0.49501000000000001</v>
      </c>
      <c r="F495">
        <v>0.73064779999999996</v>
      </c>
      <c r="G495">
        <v>1</v>
      </c>
      <c r="H495">
        <v>1171</v>
      </c>
      <c r="I495" t="s">
        <v>2714</v>
      </c>
      <c r="M495" s="227" t="s">
        <v>2713</v>
      </c>
      <c r="N495" s="227">
        <v>17</v>
      </c>
      <c r="O495" s="227">
        <v>0.35704654000000002</v>
      </c>
      <c r="P495" s="227">
        <v>0.96192960000000005</v>
      </c>
      <c r="Q495" s="227">
        <v>0.49501000000000001</v>
      </c>
      <c r="R495" s="227">
        <v>0.73064779999999996</v>
      </c>
      <c r="S495" s="227">
        <v>1</v>
      </c>
      <c r="T495" s="227">
        <v>1171</v>
      </c>
      <c r="U495" s="227" t="s">
        <v>2714</v>
      </c>
    </row>
    <row r="496" spans="1:21" x14ac:dyDescent="0.25">
      <c r="A496" t="s">
        <v>2715</v>
      </c>
      <c r="B496">
        <v>18</v>
      </c>
      <c r="C496">
        <v>0.32404319999999998</v>
      </c>
      <c r="D496">
        <v>0.9596401</v>
      </c>
      <c r="E496">
        <v>0.49233716999999999</v>
      </c>
      <c r="F496">
        <v>0.7338382</v>
      </c>
      <c r="G496">
        <v>1</v>
      </c>
      <c r="H496">
        <v>2743</v>
      </c>
      <c r="I496" t="s">
        <v>2199</v>
      </c>
      <c r="M496" s="227" t="s">
        <v>2715</v>
      </c>
      <c r="N496" s="227">
        <v>18</v>
      </c>
      <c r="O496" s="227">
        <v>0.32404319999999998</v>
      </c>
      <c r="P496" s="227">
        <v>0.9596401</v>
      </c>
      <c r="Q496" s="227">
        <v>0.49233716999999999</v>
      </c>
      <c r="R496" s="227">
        <v>0.7338382</v>
      </c>
      <c r="S496" s="227">
        <v>1</v>
      </c>
      <c r="T496" s="227">
        <v>2743</v>
      </c>
      <c r="U496" s="227" t="s">
        <v>2199</v>
      </c>
    </row>
    <row r="497" spans="1:21" x14ac:dyDescent="0.25">
      <c r="A497" t="s">
        <v>2716</v>
      </c>
      <c r="B497">
        <v>113</v>
      </c>
      <c r="C497">
        <v>0.22408528999999999</v>
      </c>
      <c r="D497">
        <v>0.95923270000000005</v>
      </c>
      <c r="E497">
        <v>0.51063829999999999</v>
      </c>
      <c r="F497">
        <v>0.73315054000000002</v>
      </c>
      <c r="G497">
        <v>1</v>
      </c>
      <c r="H497">
        <v>4150</v>
      </c>
      <c r="I497" t="s">
        <v>2717</v>
      </c>
      <c r="M497" s="227" t="s">
        <v>2716</v>
      </c>
      <c r="N497" s="227">
        <v>113</v>
      </c>
      <c r="O497" s="227">
        <v>0.22408528999999999</v>
      </c>
      <c r="P497" s="227">
        <v>0.95923270000000005</v>
      </c>
      <c r="Q497" s="227">
        <v>0.51063829999999999</v>
      </c>
      <c r="R497" s="227">
        <v>0.73315054000000002</v>
      </c>
      <c r="S497" s="227">
        <v>1</v>
      </c>
      <c r="T497" s="227">
        <v>4150</v>
      </c>
      <c r="U497" s="227" t="s">
        <v>2717</v>
      </c>
    </row>
    <row r="498" spans="1:21" x14ac:dyDescent="0.25">
      <c r="A498" t="s">
        <v>2718</v>
      </c>
      <c r="B498">
        <v>111</v>
      </c>
      <c r="C498">
        <v>0.2301455</v>
      </c>
      <c r="D498">
        <v>0.95889974</v>
      </c>
      <c r="E498">
        <v>0.51750969999999996</v>
      </c>
      <c r="F498">
        <v>0.73236690000000004</v>
      </c>
      <c r="G498">
        <v>1</v>
      </c>
      <c r="H498">
        <v>4150</v>
      </c>
      <c r="I498" t="s">
        <v>2691</v>
      </c>
      <c r="M498" s="227" t="s">
        <v>2718</v>
      </c>
      <c r="N498" s="227">
        <v>111</v>
      </c>
      <c r="O498" s="227">
        <v>0.2301455</v>
      </c>
      <c r="P498" s="227">
        <v>0.95889974</v>
      </c>
      <c r="Q498" s="227">
        <v>0.51750969999999996</v>
      </c>
      <c r="R498" s="227">
        <v>0.73236690000000004</v>
      </c>
      <c r="S498" s="227">
        <v>1</v>
      </c>
      <c r="T498" s="227">
        <v>4150</v>
      </c>
      <c r="U498" s="227" t="s">
        <v>2691</v>
      </c>
    </row>
    <row r="499" spans="1:21" x14ac:dyDescent="0.25">
      <c r="A499" t="s">
        <v>2719</v>
      </c>
      <c r="B499">
        <v>36</v>
      </c>
      <c r="C499">
        <v>0.28445166</v>
      </c>
      <c r="D499">
        <v>0.95667599999999997</v>
      </c>
      <c r="E499">
        <v>0.52157600000000004</v>
      </c>
      <c r="F499">
        <v>0.73531310000000005</v>
      </c>
      <c r="G499">
        <v>1</v>
      </c>
      <c r="H499">
        <v>5964</v>
      </c>
      <c r="I499" t="s">
        <v>2720</v>
      </c>
      <c r="M499" s="227" t="s">
        <v>2719</v>
      </c>
      <c r="N499" s="227">
        <v>36</v>
      </c>
      <c r="O499" s="227">
        <v>0.28445166</v>
      </c>
      <c r="P499" s="227">
        <v>0.95667599999999997</v>
      </c>
      <c r="Q499" s="227">
        <v>0.52157600000000004</v>
      </c>
      <c r="R499" s="227">
        <v>0.73531310000000005</v>
      </c>
      <c r="S499" s="227">
        <v>1</v>
      </c>
      <c r="T499" s="227">
        <v>5964</v>
      </c>
      <c r="U499" s="227" t="s">
        <v>2720</v>
      </c>
    </row>
    <row r="500" spans="1:21" x14ac:dyDescent="0.25">
      <c r="A500" t="s">
        <v>2721</v>
      </c>
      <c r="B500">
        <v>348</v>
      </c>
      <c r="C500">
        <v>0.20471172000000001</v>
      </c>
      <c r="D500">
        <v>0.95597449999999995</v>
      </c>
      <c r="E500">
        <v>0.56346154000000004</v>
      </c>
      <c r="F500">
        <v>0.73529440000000001</v>
      </c>
      <c r="G500">
        <v>1</v>
      </c>
      <c r="H500">
        <v>7299</v>
      </c>
      <c r="I500" t="s">
        <v>2722</v>
      </c>
      <c r="M500" s="227" t="s">
        <v>2721</v>
      </c>
      <c r="N500" s="227">
        <v>348</v>
      </c>
      <c r="O500" s="227">
        <v>0.20471172000000001</v>
      </c>
      <c r="P500" s="227">
        <v>0.95597449999999995</v>
      </c>
      <c r="Q500" s="227">
        <v>0.56346154000000004</v>
      </c>
      <c r="R500" s="227">
        <v>0.73529440000000001</v>
      </c>
      <c r="S500" s="227">
        <v>1</v>
      </c>
      <c r="T500" s="227">
        <v>7299</v>
      </c>
      <c r="U500" s="227" t="s">
        <v>2722</v>
      </c>
    </row>
    <row r="501" spans="1:21" x14ac:dyDescent="0.25">
      <c r="A501" t="s">
        <v>2723</v>
      </c>
      <c r="B501">
        <v>28</v>
      </c>
      <c r="C501">
        <v>0.28496304</v>
      </c>
      <c r="D501">
        <v>0.9555302</v>
      </c>
      <c r="E501">
        <v>0.52795029999999998</v>
      </c>
      <c r="F501">
        <v>0.73476045999999995</v>
      </c>
      <c r="G501">
        <v>1</v>
      </c>
      <c r="H501">
        <v>1119</v>
      </c>
      <c r="I501" t="s">
        <v>2724</v>
      </c>
      <c r="M501" s="227" t="s">
        <v>2723</v>
      </c>
      <c r="N501" s="227">
        <v>28</v>
      </c>
      <c r="O501" s="227">
        <v>0.28496304</v>
      </c>
      <c r="P501" s="227">
        <v>0.9555302</v>
      </c>
      <c r="Q501" s="227">
        <v>0.52795029999999998</v>
      </c>
      <c r="R501" s="227">
        <v>0.73476045999999995</v>
      </c>
      <c r="S501" s="227">
        <v>1</v>
      </c>
      <c r="T501" s="227">
        <v>1119</v>
      </c>
      <c r="U501" s="227" t="s">
        <v>2724</v>
      </c>
    </row>
    <row r="502" spans="1:21" x14ac:dyDescent="0.25">
      <c r="A502" t="s">
        <v>2725</v>
      </c>
      <c r="B502">
        <v>25</v>
      </c>
      <c r="C502">
        <v>0.32227254</v>
      </c>
      <c r="D502">
        <v>0.95434509999999995</v>
      </c>
      <c r="E502">
        <v>0.53038675000000002</v>
      </c>
      <c r="F502">
        <v>0.73573370000000005</v>
      </c>
      <c r="G502">
        <v>1</v>
      </c>
      <c r="H502">
        <v>8517</v>
      </c>
      <c r="I502" t="s">
        <v>2726</v>
      </c>
      <c r="M502" s="227" t="s">
        <v>2725</v>
      </c>
      <c r="N502" s="227">
        <v>25</v>
      </c>
      <c r="O502" s="227">
        <v>0.32227254</v>
      </c>
      <c r="P502" s="227">
        <v>0.95434509999999995</v>
      </c>
      <c r="Q502" s="227">
        <v>0.53038675000000002</v>
      </c>
      <c r="R502" s="227">
        <v>0.73573370000000005</v>
      </c>
      <c r="S502" s="227">
        <v>1</v>
      </c>
      <c r="T502" s="227">
        <v>8517</v>
      </c>
      <c r="U502" s="227" t="s">
        <v>2726</v>
      </c>
    </row>
    <row r="503" spans="1:21" x14ac:dyDescent="0.25">
      <c r="A503" t="s">
        <v>2727</v>
      </c>
      <c r="B503">
        <v>18</v>
      </c>
      <c r="C503">
        <v>0.32695659999999999</v>
      </c>
      <c r="D503">
        <v>0.95341200000000004</v>
      </c>
      <c r="E503">
        <v>0.48879837999999998</v>
      </c>
      <c r="F503">
        <v>0.73608225999999999</v>
      </c>
      <c r="G503">
        <v>1</v>
      </c>
      <c r="H503">
        <v>6329</v>
      </c>
      <c r="I503" t="s">
        <v>2728</v>
      </c>
      <c r="M503" s="227" t="s">
        <v>2727</v>
      </c>
      <c r="N503" s="227">
        <v>18</v>
      </c>
      <c r="O503" s="227">
        <v>0.32695659999999999</v>
      </c>
      <c r="P503" s="227">
        <v>0.95341200000000004</v>
      </c>
      <c r="Q503" s="227">
        <v>0.48879837999999998</v>
      </c>
      <c r="R503" s="227">
        <v>0.73608225999999999</v>
      </c>
      <c r="S503" s="227">
        <v>1</v>
      </c>
      <c r="T503" s="227">
        <v>6329</v>
      </c>
      <c r="U503" s="227" t="s">
        <v>2728</v>
      </c>
    </row>
    <row r="504" spans="1:21" x14ac:dyDescent="0.25">
      <c r="A504" t="s">
        <v>2729</v>
      </c>
      <c r="B504">
        <v>43</v>
      </c>
      <c r="C504">
        <v>0.26654050000000001</v>
      </c>
      <c r="D504">
        <v>0.95320033999999998</v>
      </c>
      <c r="E504">
        <v>0.51394419999999996</v>
      </c>
      <c r="F504">
        <v>0.73512889999999997</v>
      </c>
      <c r="G504">
        <v>1</v>
      </c>
      <c r="H504">
        <v>5486</v>
      </c>
      <c r="I504" t="s">
        <v>2730</v>
      </c>
      <c r="M504" s="227" t="s">
        <v>2729</v>
      </c>
      <c r="N504" s="227">
        <v>43</v>
      </c>
      <c r="O504" s="227">
        <v>0.26654050000000001</v>
      </c>
      <c r="P504" s="227">
        <v>0.95320033999999998</v>
      </c>
      <c r="Q504" s="227">
        <v>0.51394419999999996</v>
      </c>
      <c r="R504" s="227">
        <v>0.73512889999999997</v>
      </c>
      <c r="S504" s="227">
        <v>1</v>
      </c>
      <c r="T504" s="227">
        <v>5486</v>
      </c>
      <c r="U504" s="227" t="s">
        <v>2730</v>
      </c>
    </row>
    <row r="505" spans="1:21" x14ac:dyDescent="0.25">
      <c r="A505" t="s">
        <v>2731</v>
      </c>
      <c r="B505">
        <v>53</v>
      </c>
      <c r="C505">
        <v>0.30436020000000003</v>
      </c>
      <c r="D505">
        <v>0.95234644000000002</v>
      </c>
      <c r="E505">
        <v>0.51818180000000003</v>
      </c>
      <c r="F505">
        <v>0.73547770000000001</v>
      </c>
      <c r="G505">
        <v>1</v>
      </c>
      <c r="H505">
        <v>2436</v>
      </c>
      <c r="I505" t="s">
        <v>2732</v>
      </c>
      <c r="M505" s="227" t="s">
        <v>2731</v>
      </c>
      <c r="N505" s="227">
        <v>53</v>
      </c>
      <c r="O505" s="227">
        <v>0.30436020000000003</v>
      </c>
      <c r="P505" s="227">
        <v>0.95234644000000002</v>
      </c>
      <c r="Q505" s="227">
        <v>0.51818180000000003</v>
      </c>
      <c r="R505" s="227">
        <v>0.73547770000000001</v>
      </c>
      <c r="S505" s="227">
        <v>1</v>
      </c>
      <c r="T505" s="227">
        <v>2436</v>
      </c>
      <c r="U505" s="227" t="s">
        <v>2732</v>
      </c>
    </row>
    <row r="506" spans="1:21" x14ac:dyDescent="0.25">
      <c r="A506" t="s">
        <v>2733</v>
      </c>
      <c r="B506">
        <v>59</v>
      </c>
      <c r="C506">
        <v>0.25404601999999998</v>
      </c>
      <c r="D506">
        <v>0.95103700000000002</v>
      </c>
      <c r="E506">
        <v>0.51568630000000004</v>
      </c>
      <c r="F506">
        <v>0.73675469999999998</v>
      </c>
      <c r="G506">
        <v>1</v>
      </c>
      <c r="H506">
        <v>3283</v>
      </c>
      <c r="I506" t="s">
        <v>2372</v>
      </c>
      <c r="M506" s="227" t="s">
        <v>2733</v>
      </c>
      <c r="N506" s="227">
        <v>59</v>
      </c>
      <c r="O506" s="227">
        <v>0.25404601999999998</v>
      </c>
      <c r="P506" s="227">
        <v>0.95103700000000002</v>
      </c>
      <c r="Q506" s="227">
        <v>0.51568630000000004</v>
      </c>
      <c r="R506" s="227">
        <v>0.73675469999999998</v>
      </c>
      <c r="S506" s="227">
        <v>1</v>
      </c>
      <c r="T506" s="227">
        <v>3283</v>
      </c>
      <c r="U506" s="227" t="s">
        <v>2372</v>
      </c>
    </row>
    <row r="507" spans="1:21" x14ac:dyDescent="0.25">
      <c r="A507" t="s">
        <v>2734</v>
      </c>
      <c r="B507">
        <v>25</v>
      </c>
      <c r="C507">
        <v>0.29026940000000001</v>
      </c>
      <c r="D507">
        <v>0.95033650000000003</v>
      </c>
      <c r="E507">
        <v>0.54227939999999997</v>
      </c>
      <c r="F507">
        <v>0.73681450000000004</v>
      </c>
      <c r="G507">
        <v>1</v>
      </c>
      <c r="H507">
        <v>3458</v>
      </c>
      <c r="I507" t="s">
        <v>1973</v>
      </c>
      <c r="M507" s="227" t="s">
        <v>2734</v>
      </c>
      <c r="N507" s="227">
        <v>25</v>
      </c>
      <c r="O507" s="227">
        <v>0.29026940000000001</v>
      </c>
      <c r="P507" s="227">
        <v>0.95033650000000003</v>
      </c>
      <c r="Q507" s="227">
        <v>0.54227939999999997</v>
      </c>
      <c r="R507" s="227">
        <v>0.73681450000000004</v>
      </c>
      <c r="S507" s="227">
        <v>1</v>
      </c>
      <c r="T507" s="227">
        <v>3458</v>
      </c>
      <c r="U507" s="227" t="s">
        <v>1973</v>
      </c>
    </row>
    <row r="508" spans="1:21" x14ac:dyDescent="0.25">
      <c r="A508" t="s">
        <v>2735</v>
      </c>
      <c r="B508">
        <v>44</v>
      </c>
      <c r="C508">
        <v>0.26712158000000003</v>
      </c>
      <c r="D508">
        <v>0.95023053999999996</v>
      </c>
      <c r="E508">
        <v>0.51498127000000005</v>
      </c>
      <c r="F508">
        <v>0.73563396999999997</v>
      </c>
      <c r="G508">
        <v>1</v>
      </c>
      <c r="H508">
        <v>6378</v>
      </c>
      <c r="I508" t="s">
        <v>2736</v>
      </c>
      <c r="M508" s="227" t="s">
        <v>2735</v>
      </c>
      <c r="N508" s="227">
        <v>44</v>
      </c>
      <c r="O508" s="227">
        <v>0.26712158000000003</v>
      </c>
      <c r="P508" s="227">
        <v>0.95023053999999996</v>
      </c>
      <c r="Q508" s="227">
        <v>0.51498127000000005</v>
      </c>
      <c r="R508" s="227">
        <v>0.73563396999999997</v>
      </c>
      <c r="S508" s="227">
        <v>1</v>
      </c>
      <c r="T508" s="227">
        <v>6378</v>
      </c>
      <c r="U508" s="227" t="s">
        <v>2736</v>
      </c>
    </row>
    <row r="509" spans="1:21" x14ac:dyDescent="0.25">
      <c r="A509" t="s">
        <v>2737</v>
      </c>
      <c r="B509">
        <v>27</v>
      </c>
      <c r="C509">
        <v>0.28055400000000003</v>
      </c>
      <c r="D509">
        <v>0.94993143999999996</v>
      </c>
      <c r="E509">
        <v>0.51391463999999998</v>
      </c>
      <c r="F509">
        <v>0.73475723999999998</v>
      </c>
      <c r="G509">
        <v>1</v>
      </c>
      <c r="H509">
        <v>3458</v>
      </c>
      <c r="I509" t="s">
        <v>1991</v>
      </c>
      <c r="M509" s="227" t="s">
        <v>2737</v>
      </c>
      <c r="N509" s="227">
        <v>27</v>
      </c>
      <c r="O509" s="227">
        <v>0.28055400000000003</v>
      </c>
      <c r="P509" s="227">
        <v>0.94993143999999996</v>
      </c>
      <c r="Q509" s="227">
        <v>0.51391463999999998</v>
      </c>
      <c r="R509" s="227">
        <v>0.73475723999999998</v>
      </c>
      <c r="S509" s="227">
        <v>1</v>
      </c>
      <c r="T509" s="227">
        <v>3458</v>
      </c>
      <c r="U509" s="227" t="s">
        <v>1991</v>
      </c>
    </row>
    <row r="510" spans="1:21" x14ac:dyDescent="0.25">
      <c r="A510" t="s">
        <v>2738</v>
      </c>
      <c r="B510">
        <v>153</v>
      </c>
      <c r="C510">
        <v>0.19944092999999999</v>
      </c>
      <c r="D510">
        <v>0.94880710000000001</v>
      </c>
      <c r="E510">
        <v>0.54870779999999997</v>
      </c>
      <c r="F510">
        <v>0.73554129999999995</v>
      </c>
      <c r="G510">
        <v>1</v>
      </c>
      <c r="H510">
        <v>3374</v>
      </c>
      <c r="I510" t="s">
        <v>2377</v>
      </c>
      <c r="M510" s="227" t="s">
        <v>2738</v>
      </c>
      <c r="N510" s="227">
        <v>153</v>
      </c>
      <c r="O510" s="227">
        <v>0.19944092999999999</v>
      </c>
      <c r="P510" s="227">
        <v>0.94880710000000001</v>
      </c>
      <c r="Q510" s="227">
        <v>0.54870779999999997</v>
      </c>
      <c r="R510" s="227">
        <v>0.73554129999999995</v>
      </c>
      <c r="S510" s="227">
        <v>1</v>
      </c>
      <c r="T510" s="227">
        <v>3374</v>
      </c>
      <c r="U510" s="227" t="s">
        <v>2377</v>
      </c>
    </row>
    <row r="511" spans="1:21" x14ac:dyDescent="0.25">
      <c r="A511" t="s">
        <v>2739</v>
      </c>
      <c r="B511">
        <v>484</v>
      </c>
      <c r="C511">
        <v>0.19169908999999999</v>
      </c>
      <c r="D511">
        <v>0.94851845999999995</v>
      </c>
      <c r="E511">
        <v>0.55681820000000004</v>
      </c>
      <c r="F511">
        <v>0.73468710000000004</v>
      </c>
      <c r="G511">
        <v>1</v>
      </c>
      <c r="H511">
        <v>5355</v>
      </c>
      <c r="I511" t="s">
        <v>2740</v>
      </c>
      <c r="M511" s="227" t="s">
        <v>2739</v>
      </c>
      <c r="N511" s="227">
        <v>484</v>
      </c>
      <c r="O511" s="227">
        <v>0.19169908999999999</v>
      </c>
      <c r="P511" s="227">
        <v>0.94851845999999995</v>
      </c>
      <c r="Q511" s="227">
        <v>0.55681820000000004</v>
      </c>
      <c r="R511" s="227">
        <v>0.73468710000000004</v>
      </c>
      <c r="S511" s="227">
        <v>1</v>
      </c>
      <c r="T511" s="227">
        <v>5355</v>
      </c>
      <c r="U511" s="227" t="s">
        <v>2740</v>
      </c>
    </row>
    <row r="512" spans="1:21" x14ac:dyDescent="0.25">
      <c r="A512" t="s">
        <v>2741</v>
      </c>
      <c r="B512">
        <v>109</v>
      </c>
      <c r="C512">
        <v>0.22586123999999999</v>
      </c>
      <c r="D512">
        <v>0.94748429999999995</v>
      </c>
      <c r="E512">
        <v>0.53831039999999997</v>
      </c>
      <c r="F512">
        <v>0.73517960000000004</v>
      </c>
      <c r="G512">
        <v>1</v>
      </c>
      <c r="H512">
        <v>4150</v>
      </c>
      <c r="I512" t="s">
        <v>2691</v>
      </c>
      <c r="M512" s="227" t="s">
        <v>2741</v>
      </c>
      <c r="N512" s="227">
        <v>109</v>
      </c>
      <c r="O512" s="227">
        <v>0.22586123999999999</v>
      </c>
      <c r="P512" s="227">
        <v>0.94748429999999995</v>
      </c>
      <c r="Q512" s="227">
        <v>0.53831039999999997</v>
      </c>
      <c r="R512" s="227">
        <v>0.73517960000000004</v>
      </c>
      <c r="S512" s="227">
        <v>1</v>
      </c>
      <c r="T512" s="227">
        <v>4150</v>
      </c>
      <c r="U512" s="227" t="s">
        <v>2691</v>
      </c>
    </row>
    <row r="513" spans="1:21" x14ac:dyDescent="0.25">
      <c r="A513" t="s">
        <v>2742</v>
      </c>
      <c r="B513">
        <v>21</v>
      </c>
      <c r="C513">
        <v>0.27393859999999998</v>
      </c>
      <c r="D513">
        <v>0.94683236000000004</v>
      </c>
      <c r="E513">
        <v>0.54894434999999997</v>
      </c>
      <c r="F513">
        <v>0.73506090000000002</v>
      </c>
      <c r="G513">
        <v>1</v>
      </c>
      <c r="H513">
        <v>4277</v>
      </c>
      <c r="I513" t="s">
        <v>2743</v>
      </c>
      <c r="M513" s="227" t="s">
        <v>2742</v>
      </c>
      <c r="N513" s="227">
        <v>21</v>
      </c>
      <c r="O513" s="227">
        <v>0.27393859999999998</v>
      </c>
      <c r="P513" s="227">
        <v>0.94683236000000004</v>
      </c>
      <c r="Q513" s="227">
        <v>0.54894434999999997</v>
      </c>
      <c r="R513" s="227">
        <v>0.73506090000000002</v>
      </c>
      <c r="S513" s="227">
        <v>1</v>
      </c>
      <c r="T513" s="227">
        <v>4277</v>
      </c>
      <c r="U513" s="227" t="s">
        <v>2743</v>
      </c>
    </row>
    <row r="514" spans="1:21" x14ac:dyDescent="0.25">
      <c r="A514" t="s">
        <v>2744</v>
      </c>
      <c r="B514">
        <v>156</v>
      </c>
      <c r="C514">
        <v>0.22190683</v>
      </c>
      <c r="D514">
        <v>0.94616769999999994</v>
      </c>
      <c r="E514">
        <v>0.50927836000000004</v>
      </c>
      <c r="F514">
        <v>0.73480283999999996</v>
      </c>
      <c r="G514">
        <v>1</v>
      </c>
      <c r="H514">
        <v>2660</v>
      </c>
      <c r="I514" t="s">
        <v>2745</v>
      </c>
      <c r="M514" s="227" t="s">
        <v>2744</v>
      </c>
      <c r="N514" s="227">
        <v>156</v>
      </c>
      <c r="O514" s="227">
        <v>0.22190683</v>
      </c>
      <c r="P514" s="227">
        <v>0.94616769999999994</v>
      </c>
      <c r="Q514" s="227">
        <v>0.50927836000000004</v>
      </c>
      <c r="R514" s="227">
        <v>0.73480283999999996</v>
      </c>
      <c r="S514" s="227">
        <v>1</v>
      </c>
      <c r="T514" s="227">
        <v>2660</v>
      </c>
      <c r="U514" s="227" t="s">
        <v>2745</v>
      </c>
    </row>
    <row r="515" spans="1:21" x14ac:dyDescent="0.25">
      <c r="A515" t="s">
        <v>2746</v>
      </c>
      <c r="B515">
        <v>37</v>
      </c>
      <c r="C515">
        <v>0.26526581999999999</v>
      </c>
      <c r="D515">
        <v>0.94537705000000005</v>
      </c>
      <c r="E515">
        <v>0.55876683999999999</v>
      </c>
      <c r="F515">
        <v>0.73496479999999997</v>
      </c>
      <c r="G515">
        <v>1</v>
      </c>
      <c r="H515">
        <v>4660</v>
      </c>
      <c r="I515" t="s">
        <v>2747</v>
      </c>
      <c r="M515" s="227" t="s">
        <v>2746</v>
      </c>
      <c r="N515" s="227">
        <v>37</v>
      </c>
      <c r="O515" s="227">
        <v>0.26526581999999999</v>
      </c>
      <c r="P515" s="227">
        <v>0.94537705000000005</v>
      </c>
      <c r="Q515" s="227">
        <v>0.55876683999999999</v>
      </c>
      <c r="R515" s="227">
        <v>0.73496479999999997</v>
      </c>
      <c r="S515" s="227">
        <v>1</v>
      </c>
      <c r="T515" s="227">
        <v>4660</v>
      </c>
      <c r="U515" s="227" t="s">
        <v>2747</v>
      </c>
    </row>
    <row r="516" spans="1:21" x14ac:dyDescent="0.25">
      <c r="A516" t="s">
        <v>2748</v>
      </c>
      <c r="B516">
        <v>16</v>
      </c>
      <c r="C516">
        <v>0.38819492</v>
      </c>
      <c r="D516">
        <v>0.94458306000000003</v>
      </c>
      <c r="E516">
        <v>0.53985506000000005</v>
      </c>
      <c r="F516">
        <v>0.73513669999999998</v>
      </c>
      <c r="G516">
        <v>1</v>
      </c>
      <c r="H516">
        <v>3819</v>
      </c>
      <c r="I516" t="s">
        <v>2356</v>
      </c>
      <c r="M516" s="227" t="s">
        <v>2748</v>
      </c>
      <c r="N516" s="227">
        <v>16</v>
      </c>
      <c r="O516" s="227">
        <v>0.38819492</v>
      </c>
      <c r="P516" s="227">
        <v>0.94458306000000003</v>
      </c>
      <c r="Q516" s="227">
        <v>0.53985506000000005</v>
      </c>
      <c r="R516" s="227">
        <v>0.73513669999999998</v>
      </c>
      <c r="S516" s="227">
        <v>1</v>
      </c>
      <c r="T516" s="227">
        <v>3819</v>
      </c>
      <c r="U516" s="227" t="s">
        <v>2356</v>
      </c>
    </row>
    <row r="517" spans="1:21" x14ac:dyDescent="0.25">
      <c r="A517" t="s">
        <v>2749</v>
      </c>
      <c r="B517">
        <v>46</v>
      </c>
      <c r="C517">
        <v>0.31618118000000001</v>
      </c>
      <c r="D517">
        <v>0.94399080000000002</v>
      </c>
      <c r="E517">
        <v>0.55474453999999995</v>
      </c>
      <c r="F517">
        <v>0.73487190000000002</v>
      </c>
      <c r="G517">
        <v>1</v>
      </c>
      <c r="H517">
        <v>3367</v>
      </c>
      <c r="I517" t="s">
        <v>2750</v>
      </c>
      <c r="M517" s="227" t="s">
        <v>2749</v>
      </c>
      <c r="N517" s="227">
        <v>46</v>
      </c>
      <c r="O517" s="227">
        <v>0.31618118000000001</v>
      </c>
      <c r="P517" s="227">
        <v>0.94399080000000002</v>
      </c>
      <c r="Q517" s="227">
        <v>0.55474453999999995</v>
      </c>
      <c r="R517" s="227">
        <v>0.73487190000000002</v>
      </c>
      <c r="S517" s="227">
        <v>1</v>
      </c>
      <c r="T517" s="227">
        <v>3367</v>
      </c>
      <c r="U517" s="227" t="s">
        <v>2750</v>
      </c>
    </row>
    <row r="518" spans="1:21" x14ac:dyDescent="0.25">
      <c r="A518" t="s">
        <v>2751</v>
      </c>
      <c r="B518">
        <v>121</v>
      </c>
      <c r="C518">
        <v>0.25175530000000002</v>
      </c>
      <c r="D518">
        <v>0.94370662999999999</v>
      </c>
      <c r="E518">
        <v>0.50497020000000004</v>
      </c>
      <c r="F518">
        <v>0.73401004000000003</v>
      </c>
      <c r="G518">
        <v>1</v>
      </c>
      <c r="H518">
        <v>4555</v>
      </c>
      <c r="I518" t="s">
        <v>2752</v>
      </c>
      <c r="M518" s="227" t="s">
        <v>2751</v>
      </c>
      <c r="N518" s="227">
        <v>121</v>
      </c>
      <c r="O518" s="227">
        <v>0.25175530000000002</v>
      </c>
      <c r="P518" s="227">
        <v>0.94370662999999999</v>
      </c>
      <c r="Q518" s="227">
        <v>0.50497020000000004</v>
      </c>
      <c r="R518" s="227">
        <v>0.73401004000000003</v>
      </c>
      <c r="S518" s="227">
        <v>1</v>
      </c>
      <c r="T518" s="227">
        <v>4555</v>
      </c>
      <c r="U518" s="227" t="s">
        <v>2752</v>
      </c>
    </row>
    <row r="519" spans="1:21" x14ac:dyDescent="0.25">
      <c r="A519" t="s">
        <v>2753</v>
      </c>
      <c r="B519">
        <v>25</v>
      </c>
      <c r="C519">
        <v>0.32697411999999998</v>
      </c>
      <c r="D519">
        <v>0.94131589999999998</v>
      </c>
      <c r="E519">
        <v>0.56000000000000005</v>
      </c>
      <c r="F519">
        <v>0.7373982</v>
      </c>
      <c r="G519">
        <v>1</v>
      </c>
      <c r="H519">
        <v>5943</v>
      </c>
      <c r="I519" t="s">
        <v>2754</v>
      </c>
      <c r="M519" s="227" t="s">
        <v>2753</v>
      </c>
      <c r="N519" s="227">
        <v>25</v>
      </c>
      <c r="O519" s="227">
        <v>0.32697411999999998</v>
      </c>
      <c r="P519" s="227">
        <v>0.94131589999999998</v>
      </c>
      <c r="Q519" s="227">
        <v>0.56000000000000005</v>
      </c>
      <c r="R519" s="227">
        <v>0.7373982</v>
      </c>
      <c r="S519" s="227">
        <v>1</v>
      </c>
      <c r="T519" s="227">
        <v>5943</v>
      </c>
      <c r="U519" s="227" t="s">
        <v>2754</v>
      </c>
    </row>
    <row r="520" spans="1:21" x14ac:dyDescent="0.25">
      <c r="A520" t="s">
        <v>2755</v>
      </c>
      <c r="B520">
        <v>206</v>
      </c>
      <c r="C520">
        <v>0.20770723999999999</v>
      </c>
      <c r="D520">
        <v>0.93834715999999996</v>
      </c>
      <c r="E520">
        <v>0.5574074</v>
      </c>
      <c r="F520">
        <v>0.74215710000000001</v>
      </c>
      <c r="G520">
        <v>1</v>
      </c>
      <c r="H520">
        <v>3478</v>
      </c>
      <c r="I520" t="s">
        <v>2235</v>
      </c>
      <c r="M520" s="227" t="s">
        <v>2755</v>
      </c>
      <c r="N520" s="227">
        <v>206</v>
      </c>
      <c r="O520" s="227">
        <v>0.20770723999999999</v>
      </c>
      <c r="P520" s="227">
        <v>0.93834715999999996</v>
      </c>
      <c r="Q520" s="227">
        <v>0.5574074</v>
      </c>
      <c r="R520" s="227">
        <v>0.74215710000000001</v>
      </c>
      <c r="S520" s="227">
        <v>1</v>
      </c>
      <c r="T520" s="227">
        <v>3478</v>
      </c>
      <c r="U520" s="227" t="s">
        <v>2235</v>
      </c>
    </row>
    <row r="521" spans="1:21" x14ac:dyDescent="0.25">
      <c r="A521" t="s">
        <v>2756</v>
      </c>
      <c r="B521">
        <v>16</v>
      </c>
      <c r="C521">
        <v>0.32252795000000001</v>
      </c>
      <c r="D521">
        <v>0.93804670000000001</v>
      </c>
      <c r="E521">
        <v>0.53539824000000003</v>
      </c>
      <c r="F521">
        <v>0.74130099999999999</v>
      </c>
      <c r="G521">
        <v>1</v>
      </c>
      <c r="H521">
        <v>2660</v>
      </c>
      <c r="I521" t="s">
        <v>2287</v>
      </c>
      <c r="M521" s="227" t="s">
        <v>2756</v>
      </c>
      <c r="N521" s="227">
        <v>16</v>
      </c>
      <c r="O521" s="227">
        <v>0.32252795000000001</v>
      </c>
      <c r="P521" s="227">
        <v>0.93804670000000001</v>
      </c>
      <c r="Q521" s="227">
        <v>0.53539824000000003</v>
      </c>
      <c r="R521" s="227">
        <v>0.74130099999999999</v>
      </c>
      <c r="S521" s="227">
        <v>1</v>
      </c>
      <c r="T521" s="227">
        <v>2660</v>
      </c>
      <c r="U521" s="227" t="s">
        <v>2287</v>
      </c>
    </row>
    <row r="522" spans="1:21" x14ac:dyDescent="0.25">
      <c r="A522" t="s">
        <v>2757</v>
      </c>
      <c r="B522">
        <v>32</v>
      </c>
      <c r="C522">
        <v>0.29057624999999998</v>
      </c>
      <c r="D522">
        <v>0.93738573999999997</v>
      </c>
      <c r="E522">
        <v>0.52455795000000005</v>
      </c>
      <c r="F522">
        <v>0.74113510000000005</v>
      </c>
      <c r="G522">
        <v>1</v>
      </c>
      <c r="H522">
        <v>4488</v>
      </c>
      <c r="I522" t="s">
        <v>2758</v>
      </c>
      <c r="M522" s="227" t="s">
        <v>2757</v>
      </c>
      <c r="N522" s="227">
        <v>32</v>
      </c>
      <c r="O522" s="227">
        <v>0.29057624999999998</v>
      </c>
      <c r="P522" s="227">
        <v>0.93738573999999997</v>
      </c>
      <c r="Q522" s="227">
        <v>0.52455795000000005</v>
      </c>
      <c r="R522" s="227">
        <v>0.74113510000000005</v>
      </c>
      <c r="S522" s="227">
        <v>1</v>
      </c>
      <c r="T522" s="227">
        <v>4488</v>
      </c>
      <c r="U522" s="227" t="s">
        <v>2758</v>
      </c>
    </row>
    <row r="523" spans="1:21" x14ac:dyDescent="0.25">
      <c r="A523" t="s">
        <v>2759</v>
      </c>
      <c r="B523">
        <v>15</v>
      </c>
      <c r="C523">
        <v>0.3472036</v>
      </c>
      <c r="D523">
        <v>0.93715775000000001</v>
      </c>
      <c r="E523">
        <v>0.54280156000000002</v>
      </c>
      <c r="F523">
        <v>0.74018349999999999</v>
      </c>
      <c r="G523">
        <v>1</v>
      </c>
      <c r="H523">
        <v>5570</v>
      </c>
      <c r="I523" t="s">
        <v>2760</v>
      </c>
      <c r="M523" s="227" t="s">
        <v>2759</v>
      </c>
      <c r="N523" s="227">
        <v>15</v>
      </c>
      <c r="O523" s="227">
        <v>0.3472036</v>
      </c>
      <c r="P523" s="227">
        <v>0.93715775000000001</v>
      </c>
      <c r="Q523" s="227">
        <v>0.54280156000000002</v>
      </c>
      <c r="R523" s="227">
        <v>0.74018349999999999</v>
      </c>
      <c r="S523" s="227">
        <v>1</v>
      </c>
      <c r="T523" s="227">
        <v>5570</v>
      </c>
      <c r="U523" s="227" t="s">
        <v>2760</v>
      </c>
    </row>
    <row r="524" spans="1:21" x14ac:dyDescent="0.25">
      <c r="A524" t="s">
        <v>2761</v>
      </c>
      <c r="B524">
        <v>16</v>
      </c>
      <c r="C524">
        <v>0.37181999999999998</v>
      </c>
      <c r="D524">
        <v>0.93711953999999997</v>
      </c>
      <c r="E524">
        <v>0.55283015999999996</v>
      </c>
      <c r="F524">
        <v>0.73882230000000004</v>
      </c>
      <c r="G524">
        <v>1</v>
      </c>
      <c r="H524">
        <v>5576</v>
      </c>
      <c r="I524" t="s">
        <v>2762</v>
      </c>
      <c r="M524" s="227" t="s">
        <v>2761</v>
      </c>
      <c r="N524" s="227">
        <v>16</v>
      </c>
      <c r="O524" s="227">
        <v>0.37181999999999998</v>
      </c>
      <c r="P524" s="227">
        <v>0.93711953999999997</v>
      </c>
      <c r="Q524" s="227">
        <v>0.55283015999999996</v>
      </c>
      <c r="R524" s="227">
        <v>0.73882230000000004</v>
      </c>
      <c r="S524" s="227">
        <v>1</v>
      </c>
      <c r="T524" s="227">
        <v>5576</v>
      </c>
      <c r="U524" s="227" t="s">
        <v>2762</v>
      </c>
    </row>
    <row r="525" spans="1:21" x14ac:dyDescent="0.25">
      <c r="A525" t="s">
        <v>2763</v>
      </c>
      <c r="B525">
        <v>31</v>
      </c>
      <c r="C525">
        <v>0.28080532000000002</v>
      </c>
      <c r="D525">
        <v>0.93685169999999995</v>
      </c>
      <c r="E525">
        <v>0.50197630000000004</v>
      </c>
      <c r="F525">
        <v>0.73788500000000001</v>
      </c>
      <c r="G525">
        <v>1</v>
      </c>
      <c r="H525">
        <v>2500</v>
      </c>
      <c r="I525" t="s">
        <v>2764</v>
      </c>
      <c r="M525" s="227" t="s">
        <v>2763</v>
      </c>
      <c r="N525" s="227">
        <v>31</v>
      </c>
      <c r="O525" s="227">
        <v>0.28080532000000002</v>
      </c>
      <c r="P525" s="227">
        <v>0.93685169999999995</v>
      </c>
      <c r="Q525" s="227">
        <v>0.50197630000000004</v>
      </c>
      <c r="R525" s="227">
        <v>0.73788500000000001</v>
      </c>
      <c r="S525" s="227">
        <v>1</v>
      </c>
      <c r="T525" s="227">
        <v>2500</v>
      </c>
      <c r="U525" s="227" t="s">
        <v>2764</v>
      </c>
    </row>
    <row r="526" spans="1:21" x14ac:dyDescent="0.25">
      <c r="A526" t="s">
        <v>2765</v>
      </c>
      <c r="B526">
        <v>15</v>
      </c>
      <c r="C526">
        <v>0.32509658000000002</v>
      </c>
      <c r="D526">
        <v>0.93676919999999997</v>
      </c>
      <c r="E526">
        <v>0.55283015999999996</v>
      </c>
      <c r="F526">
        <v>0.73663442999999995</v>
      </c>
      <c r="G526">
        <v>1</v>
      </c>
      <c r="H526">
        <v>138</v>
      </c>
      <c r="I526" t="s">
        <v>2766</v>
      </c>
      <c r="M526" s="227" t="s">
        <v>2765</v>
      </c>
      <c r="N526" s="227">
        <v>15</v>
      </c>
      <c r="O526" s="227">
        <v>0.32509658000000002</v>
      </c>
      <c r="P526" s="227">
        <v>0.93676919999999997</v>
      </c>
      <c r="Q526" s="227">
        <v>0.55283015999999996</v>
      </c>
      <c r="R526" s="227">
        <v>0.73663442999999995</v>
      </c>
      <c r="S526" s="227">
        <v>1</v>
      </c>
      <c r="T526" s="227">
        <v>138</v>
      </c>
      <c r="U526" s="227" t="s">
        <v>2766</v>
      </c>
    </row>
    <row r="527" spans="1:21" x14ac:dyDescent="0.25">
      <c r="A527" t="s">
        <v>2767</v>
      </c>
      <c r="B527">
        <v>242</v>
      </c>
      <c r="C527">
        <v>0.22017418</v>
      </c>
      <c r="D527">
        <v>0.93612810000000002</v>
      </c>
      <c r="E527">
        <v>0.50709939999999998</v>
      </c>
      <c r="F527">
        <v>0.73647019999999996</v>
      </c>
      <c r="G527">
        <v>1</v>
      </c>
      <c r="H527">
        <v>3698</v>
      </c>
      <c r="I527" t="s">
        <v>2768</v>
      </c>
      <c r="M527" s="227" t="s">
        <v>2767</v>
      </c>
      <c r="N527" s="227">
        <v>242</v>
      </c>
      <c r="O527" s="227">
        <v>0.22017418</v>
      </c>
      <c r="P527" s="227">
        <v>0.93612810000000002</v>
      </c>
      <c r="Q527" s="227">
        <v>0.50709939999999998</v>
      </c>
      <c r="R527" s="227">
        <v>0.73647019999999996</v>
      </c>
      <c r="S527" s="227">
        <v>1</v>
      </c>
      <c r="T527" s="227">
        <v>3698</v>
      </c>
      <c r="U527" s="227" t="s">
        <v>2768</v>
      </c>
    </row>
    <row r="528" spans="1:21" x14ac:dyDescent="0.25">
      <c r="A528" t="s">
        <v>2769</v>
      </c>
      <c r="B528">
        <v>52</v>
      </c>
      <c r="C528">
        <v>0.23410586999999999</v>
      </c>
      <c r="D528">
        <v>0.93120069999999999</v>
      </c>
      <c r="E528">
        <v>0.56143664999999998</v>
      </c>
      <c r="F528">
        <v>0.74489163999999997</v>
      </c>
      <c r="G528">
        <v>1</v>
      </c>
      <c r="H528">
        <v>5366</v>
      </c>
      <c r="I528" t="s">
        <v>2770</v>
      </c>
      <c r="M528" s="227" t="s">
        <v>2769</v>
      </c>
      <c r="N528" s="227">
        <v>52</v>
      </c>
      <c r="O528" s="227">
        <v>0.23410586999999999</v>
      </c>
      <c r="P528" s="227">
        <v>0.93120069999999999</v>
      </c>
      <c r="Q528" s="227">
        <v>0.56143664999999998</v>
      </c>
      <c r="R528" s="227">
        <v>0.74489163999999997</v>
      </c>
      <c r="S528" s="227">
        <v>1</v>
      </c>
      <c r="T528" s="227">
        <v>5366</v>
      </c>
      <c r="U528" s="227" t="s">
        <v>2770</v>
      </c>
    </row>
    <row r="529" spans="1:21" x14ac:dyDescent="0.25">
      <c r="A529" t="s">
        <v>2771</v>
      </c>
      <c r="B529">
        <v>42</v>
      </c>
      <c r="C529">
        <v>0.26201724999999998</v>
      </c>
      <c r="D529">
        <v>0.93110769999999998</v>
      </c>
      <c r="E529">
        <v>0.59143966000000003</v>
      </c>
      <c r="F529">
        <v>0.74366253999999998</v>
      </c>
      <c r="G529">
        <v>1</v>
      </c>
      <c r="H529">
        <v>4723</v>
      </c>
      <c r="I529" t="s">
        <v>2772</v>
      </c>
      <c r="M529" s="227" t="s">
        <v>2771</v>
      </c>
      <c r="N529" s="227">
        <v>42</v>
      </c>
      <c r="O529" s="227">
        <v>0.26201724999999998</v>
      </c>
      <c r="P529" s="227">
        <v>0.93110769999999998</v>
      </c>
      <c r="Q529" s="227">
        <v>0.59143966000000003</v>
      </c>
      <c r="R529" s="227">
        <v>0.74366253999999998</v>
      </c>
      <c r="S529" s="227">
        <v>1</v>
      </c>
      <c r="T529" s="227">
        <v>4723</v>
      </c>
      <c r="U529" s="227" t="s">
        <v>2772</v>
      </c>
    </row>
    <row r="530" spans="1:21" x14ac:dyDescent="0.25">
      <c r="A530" t="s">
        <v>2773</v>
      </c>
      <c r="B530">
        <v>37</v>
      </c>
      <c r="C530">
        <v>0.26371445999999998</v>
      </c>
      <c r="D530">
        <v>0.93061470000000002</v>
      </c>
      <c r="E530">
        <v>0.52598750000000005</v>
      </c>
      <c r="F530">
        <v>0.74326230000000004</v>
      </c>
      <c r="G530">
        <v>1</v>
      </c>
      <c r="H530">
        <v>3392</v>
      </c>
      <c r="I530" t="s">
        <v>2774</v>
      </c>
      <c r="M530" s="227" t="s">
        <v>2773</v>
      </c>
      <c r="N530" s="227">
        <v>37</v>
      </c>
      <c r="O530" s="227">
        <v>0.26371445999999998</v>
      </c>
      <c r="P530" s="227">
        <v>0.93061470000000002</v>
      </c>
      <c r="Q530" s="227">
        <v>0.52598750000000005</v>
      </c>
      <c r="R530" s="227">
        <v>0.74326230000000004</v>
      </c>
      <c r="S530" s="227">
        <v>1</v>
      </c>
      <c r="T530" s="227">
        <v>3392</v>
      </c>
      <c r="U530" s="227" t="s">
        <v>2774</v>
      </c>
    </row>
    <row r="531" spans="1:21" x14ac:dyDescent="0.25">
      <c r="A531" t="s">
        <v>2775</v>
      </c>
      <c r="B531">
        <v>103</v>
      </c>
      <c r="C531">
        <v>0.21161787000000001</v>
      </c>
      <c r="D531">
        <v>0.93053980000000003</v>
      </c>
      <c r="E531">
        <v>0.57249070000000002</v>
      </c>
      <c r="F531">
        <v>0.74199903</v>
      </c>
      <c r="G531">
        <v>1</v>
      </c>
      <c r="H531">
        <v>3277</v>
      </c>
      <c r="I531" t="s">
        <v>2538</v>
      </c>
      <c r="M531" s="227" t="s">
        <v>2775</v>
      </c>
      <c r="N531" s="227">
        <v>103</v>
      </c>
      <c r="O531" s="227">
        <v>0.21161787000000001</v>
      </c>
      <c r="P531" s="227">
        <v>0.93053980000000003</v>
      </c>
      <c r="Q531" s="227">
        <v>0.57249070000000002</v>
      </c>
      <c r="R531" s="227">
        <v>0.74199903</v>
      </c>
      <c r="S531" s="227">
        <v>1</v>
      </c>
      <c r="T531" s="227">
        <v>3277</v>
      </c>
      <c r="U531" s="227" t="s">
        <v>2538</v>
      </c>
    </row>
    <row r="532" spans="1:21" x14ac:dyDescent="0.25">
      <c r="A532" t="s">
        <v>2776</v>
      </c>
      <c r="B532">
        <v>176</v>
      </c>
      <c r="C532">
        <v>0.19997202</v>
      </c>
      <c r="D532">
        <v>0.92906403999999998</v>
      </c>
      <c r="E532">
        <v>0.58925145999999995</v>
      </c>
      <c r="F532">
        <v>0.74359039999999998</v>
      </c>
      <c r="G532">
        <v>1</v>
      </c>
      <c r="H532">
        <v>5759</v>
      </c>
      <c r="I532" t="s">
        <v>2679</v>
      </c>
      <c r="M532" s="227" t="s">
        <v>2776</v>
      </c>
      <c r="N532" s="227">
        <v>176</v>
      </c>
      <c r="O532" s="227">
        <v>0.19997202</v>
      </c>
      <c r="P532" s="227">
        <v>0.92906403999999998</v>
      </c>
      <c r="Q532" s="227">
        <v>0.58925145999999995</v>
      </c>
      <c r="R532" s="227">
        <v>0.74359039999999998</v>
      </c>
      <c r="S532" s="227">
        <v>1</v>
      </c>
      <c r="T532" s="227">
        <v>5759</v>
      </c>
      <c r="U532" s="227" t="s">
        <v>2679</v>
      </c>
    </row>
    <row r="533" spans="1:21" x14ac:dyDescent="0.25">
      <c r="A533" t="s">
        <v>2777</v>
      </c>
      <c r="B533">
        <v>181</v>
      </c>
      <c r="C533">
        <v>0.19061281999999999</v>
      </c>
      <c r="D533">
        <v>0.92889284999999999</v>
      </c>
      <c r="E533">
        <v>0.57722010000000001</v>
      </c>
      <c r="F533">
        <v>0.74255740000000003</v>
      </c>
      <c r="G533">
        <v>1</v>
      </c>
      <c r="H533">
        <v>5334</v>
      </c>
      <c r="I533" t="s">
        <v>2778</v>
      </c>
      <c r="M533" s="227" t="s">
        <v>2777</v>
      </c>
      <c r="N533" s="227">
        <v>181</v>
      </c>
      <c r="O533" s="227">
        <v>0.19061281999999999</v>
      </c>
      <c r="P533" s="227">
        <v>0.92889284999999999</v>
      </c>
      <c r="Q533" s="227">
        <v>0.57722010000000001</v>
      </c>
      <c r="R533" s="227">
        <v>0.74255740000000003</v>
      </c>
      <c r="S533" s="227">
        <v>1</v>
      </c>
      <c r="T533" s="227">
        <v>5334</v>
      </c>
      <c r="U533" s="227" t="s">
        <v>2778</v>
      </c>
    </row>
    <row r="534" spans="1:21" x14ac:dyDescent="0.25">
      <c r="A534" t="s">
        <v>2779</v>
      </c>
      <c r="B534">
        <v>17</v>
      </c>
      <c r="C534">
        <v>0.3322908</v>
      </c>
      <c r="D534">
        <v>0.92833549999999998</v>
      </c>
      <c r="E534">
        <v>0.56021900000000002</v>
      </c>
      <c r="F534">
        <v>0.74225280000000005</v>
      </c>
      <c r="G534">
        <v>1</v>
      </c>
      <c r="H534">
        <v>4350</v>
      </c>
      <c r="I534" t="s">
        <v>2780</v>
      </c>
      <c r="M534" s="227" t="s">
        <v>2779</v>
      </c>
      <c r="N534" s="227">
        <v>17</v>
      </c>
      <c r="O534" s="227">
        <v>0.3322908</v>
      </c>
      <c r="P534" s="227">
        <v>0.92833549999999998</v>
      </c>
      <c r="Q534" s="227">
        <v>0.56021900000000002</v>
      </c>
      <c r="R534" s="227">
        <v>0.74225280000000005</v>
      </c>
      <c r="S534" s="227">
        <v>1</v>
      </c>
      <c r="T534" s="227">
        <v>4350</v>
      </c>
      <c r="U534" s="227" t="s">
        <v>2780</v>
      </c>
    </row>
    <row r="535" spans="1:21" x14ac:dyDescent="0.25">
      <c r="A535" t="s">
        <v>2781</v>
      </c>
      <c r="B535">
        <v>157</v>
      </c>
      <c r="C535">
        <v>0.24089162</v>
      </c>
      <c r="D535">
        <v>0.92799693000000005</v>
      </c>
      <c r="E535">
        <v>0.52559054000000005</v>
      </c>
      <c r="F535">
        <v>0.74156219999999995</v>
      </c>
      <c r="G535">
        <v>1</v>
      </c>
      <c r="H535">
        <v>3419</v>
      </c>
      <c r="I535" t="s">
        <v>2235</v>
      </c>
      <c r="M535" s="227" t="s">
        <v>2781</v>
      </c>
      <c r="N535" s="227">
        <v>157</v>
      </c>
      <c r="O535" s="227">
        <v>0.24089162</v>
      </c>
      <c r="P535" s="227">
        <v>0.92799693000000005</v>
      </c>
      <c r="Q535" s="227">
        <v>0.52559054000000005</v>
      </c>
      <c r="R535" s="227">
        <v>0.74156219999999995</v>
      </c>
      <c r="S535" s="227">
        <v>1</v>
      </c>
      <c r="T535" s="227">
        <v>3419</v>
      </c>
      <c r="U535" s="227" t="s">
        <v>2235</v>
      </c>
    </row>
    <row r="536" spans="1:21" x14ac:dyDescent="0.25">
      <c r="A536" t="s">
        <v>2782</v>
      </c>
      <c r="B536">
        <v>57</v>
      </c>
      <c r="C536">
        <v>0.25964885999999998</v>
      </c>
      <c r="D536">
        <v>0.92797969999999996</v>
      </c>
      <c r="E536">
        <v>0.56367040000000002</v>
      </c>
      <c r="F536">
        <v>0.74021400000000004</v>
      </c>
      <c r="G536">
        <v>1</v>
      </c>
      <c r="H536">
        <v>7471</v>
      </c>
      <c r="I536" t="s">
        <v>2783</v>
      </c>
      <c r="M536" s="227" t="s">
        <v>2782</v>
      </c>
      <c r="N536" s="227">
        <v>57</v>
      </c>
      <c r="O536" s="227">
        <v>0.25964885999999998</v>
      </c>
      <c r="P536" s="227">
        <v>0.92797969999999996</v>
      </c>
      <c r="Q536" s="227">
        <v>0.56367040000000002</v>
      </c>
      <c r="R536" s="227">
        <v>0.74021400000000004</v>
      </c>
      <c r="S536" s="227">
        <v>1</v>
      </c>
      <c r="T536" s="227">
        <v>7471</v>
      </c>
      <c r="U536" s="227" t="s">
        <v>2783</v>
      </c>
    </row>
    <row r="537" spans="1:21" x14ac:dyDescent="0.25">
      <c r="A537" t="s">
        <v>2784</v>
      </c>
      <c r="B537">
        <v>19</v>
      </c>
      <c r="C537">
        <v>0.30603459999999999</v>
      </c>
      <c r="D537">
        <v>0.92553940000000001</v>
      </c>
      <c r="E537">
        <v>0.54059404</v>
      </c>
      <c r="F537">
        <v>0.74368389999999995</v>
      </c>
      <c r="G537">
        <v>1</v>
      </c>
      <c r="H537">
        <v>1369</v>
      </c>
      <c r="I537" t="s">
        <v>2248</v>
      </c>
      <c r="M537" s="227" t="s">
        <v>2784</v>
      </c>
      <c r="N537" s="227">
        <v>19</v>
      </c>
      <c r="O537" s="227">
        <v>0.30603459999999999</v>
      </c>
      <c r="P537" s="227">
        <v>0.92553940000000001</v>
      </c>
      <c r="Q537" s="227">
        <v>0.54059404</v>
      </c>
      <c r="R537" s="227">
        <v>0.74368389999999995</v>
      </c>
      <c r="S537" s="227">
        <v>1</v>
      </c>
      <c r="T537" s="227">
        <v>1369</v>
      </c>
      <c r="U537" s="227" t="s">
        <v>2248</v>
      </c>
    </row>
    <row r="538" spans="1:21" x14ac:dyDescent="0.25">
      <c r="A538" t="s">
        <v>2785</v>
      </c>
      <c r="B538">
        <v>41</v>
      </c>
      <c r="C538">
        <v>0.32034117000000001</v>
      </c>
      <c r="D538">
        <v>0.92300320000000002</v>
      </c>
      <c r="E538">
        <v>0.56204379999999998</v>
      </c>
      <c r="F538">
        <v>0.74734310000000004</v>
      </c>
      <c r="G538">
        <v>1</v>
      </c>
      <c r="H538">
        <v>3367</v>
      </c>
      <c r="I538" t="s">
        <v>2374</v>
      </c>
      <c r="M538" s="227" t="s">
        <v>2785</v>
      </c>
      <c r="N538" s="227">
        <v>41</v>
      </c>
      <c r="O538" s="227">
        <v>0.32034117000000001</v>
      </c>
      <c r="P538" s="227">
        <v>0.92300320000000002</v>
      </c>
      <c r="Q538" s="227">
        <v>0.56204379999999998</v>
      </c>
      <c r="R538" s="227">
        <v>0.74734310000000004</v>
      </c>
      <c r="S538" s="227">
        <v>1</v>
      </c>
      <c r="T538" s="227">
        <v>3367</v>
      </c>
      <c r="U538" s="227" t="s">
        <v>2374</v>
      </c>
    </row>
    <row r="539" spans="1:21" x14ac:dyDescent="0.25">
      <c r="A539" t="s">
        <v>2786</v>
      </c>
      <c r="B539">
        <v>15</v>
      </c>
      <c r="C539">
        <v>0.35635206000000003</v>
      </c>
      <c r="D539">
        <v>0.92207645999999999</v>
      </c>
      <c r="E539">
        <v>0.58523725999999998</v>
      </c>
      <c r="F539">
        <v>0.74778162999999997</v>
      </c>
      <c r="G539">
        <v>1</v>
      </c>
      <c r="H539">
        <v>6603</v>
      </c>
      <c r="I539" t="s">
        <v>2787</v>
      </c>
      <c r="M539" s="227" t="s">
        <v>2786</v>
      </c>
      <c r="N539" s="227">
        <v>15</v>
      </c>
      <c r="O539" s="227">
        <v>0.35635206000000003</v>
      </c>
      <c r="P539" s="227">
        <v>0.92207645999999999</v>
      </c>
      <c r="Q539" s="227">
        <v>0.58523725999999998</v>
      </c>
      <c r="R539" s="227">
        <v>0.74778162999999997</v>
      </c>
      <c r="S539" s="227">
        <v>1</v>
      </c>
      <c r="T539" s="227">
        <v>6603</v>
      </c>
      <c r="U539" s="227" t="s">
        <v>2787</v>
      </c>
    </row>
    <row r="540" spans="1:21" x14ac:dyDescent="0.25">
      <c r="A540" t="s">
        <v>2788</v>
      </c>
      <c r="B540">
        <v>132</v>
      </c>
      <c r="C540">
        <v>0.2545521</v>
      </c>
      <c r="D540">
        <v>0.92207629999999996</v>
      </c>
      <c r="E540">
        <v>0.58510640000000003</v>
      </c>
      <c r="F540">
        <v>0.74639420000000001</v>
      </c>
      <c r="G540">
        <v>1</v>
      </c>
      <c r="H540">
        <v>5464</v>
      </c>
      <c r="I540" t="s">
        <v>2789</v>
      </c>
      <c r="M540" s="227" t="s">
        <v>2788</v>
      </c>
      <c r="N540" s="227">
        <v>132</v>
      </c>
      <c r="O540" s="227">
        <v>0.2545521</v>
      </c>
      <c r="P540" s="227">
        <v>0.92207629999999996</v>
      </c>
      <c r="Q540" s="227">
        <v>0.58510640000000003</v>
      </c>
      <c r="R540" s="227">
        <v>0.74639420000000001</v>
      </c>
      <c r="S540" s="227">
        <v>1</v>
      </c>
      <c r="T540" s="227">
        <v>5464</v>
      </c>
      <c r="U540" s="227" t="s">
        <v>2789</v>
      </c>
    </row>
    <row r="541" spans="1:21" x14ac:dyDescent="0.25">
      <c r="A541" t="s">
        <v>2790</v>
      </c>
      <c r="B541">
        <v>84</v>
      </c>
      <c r="C541">
        <v>0.20969056999999999</v>
      </c>
      <c r="D541">
        <v>0.92103100000000004</v>
      </c>
      <c r="E541">
        <v>0.60919540000000005</v>
      </c>
      <c r="F541">
        <v>0.74706656000000005</v>
      </c>
      <c r="G541">
        <v>1</v>
      </c>
      <c r="H541">
        <v>3326</v>
      </c>
      <c r="I541" t="s">
        <v>2686</v>
      </c>
      <c r="M541" s="227" t="s">
        <v>2790</v>
      </c>
      <c r="N541" s="227">
        <v>84</v>
      </c>
      <c r="O541" s="227">
        <v>0.20969056999999999</v>
      </c>
      <c r="P541" s="227">
        <v>0.92103100000000004</v>
      </c>
      <c r="Q541" s="227">
        <v>0.60919540000000005</v>
      </c>
      <c r="R541" s="227">
        <v>0.74706656000000005</v>
      </c>
      <c r="S541" s="227">
        <v>1</v>
      </c>
      <c r="T541" s="227">
        <v>3326</v>
      </c>
      <c r="U541" s="227" t="s">
        <v>2686</v>
      </c>
    </row>
    <row r="542" spans="1:21" x14ac:dyDescent="0.25">
      <c r="A542" t="s">
        <v>2791</v>
      </c>
      <c r="B542">
        <v>43</v>
      </c>
      <c r="C542">
        <v>0.25169914999999998</v>
      </c>
      <c r="D542">
        <v>0.92008979999999996</v>
      </c>
      <c r="E542">
        <v>0.5515873</v>
      </c>
      <c r="F542">
        <v>0.74751705000000002</v>
      </c>
      <c r="G542">
        <v>1</v>
      </c>
      <c r="H542">
        <v>5366</v>
      </c>
      <c r="I542" t="s">
        <v>2602</v>
      </c>
      <c r="M542" s="227" t="s">
        <v>2791</v>
      </c>
      <c r="N542" s="227">
        <v>43</v>
      </c>
      <c r="O542" s="227">
        <v>0.25169914999999998</v>
      </c>
      <c r="P542" s="227">
        <v>0.92008979999999996</v>
      </c>
      <c r="Q542" s="227">
        <v>0.5515873</v>
      </c>
      <c r="R542" s="227">
        <v>0.74751705000000002</v>
      </c>
      <c r="S542" s="227">
        <v>1</v>
      </c>
      <c r="T542" s="227">
        <v>5366</v>
      </c>
      <c r="U542" s="227" t="s">
        <v>2602</v>
      </c>
    </row>
    <row r="543" spans="1:21" x14ac:dyDescent="0.25">
      <c r="A543" t="s">
        <v>2792</v>
      </c>
      <c r="B543">
        <v>40</v>
      </c>
      <c r="C543">
        <v>0.28592008000000002</v>
      </c>
      <c r="D543">
        <v>0.91896339999999999</v>
      </c>
      <c r="E543">
        <v>0.56858850000000005</v>
      </c>
      <c r="F543">
        <v>0.74843470000000001</v>
      </c>
      <c r="G543">
        <v>1</v>
      </c>
      <c r="H543">
        <v>4141</v>
      </c>
      <c r="I543" t="s">
        <v>2793</v>
      </c>
      <c r="M543" s="227" t="s">
        <v>2792</v>
      </c>
      <c r="N543" s="227">
        <v>40</v>
      </c>
      <c r="O543" s="227">
        <v>0.28592008000000002</v>
      </c>
      <c r="P543" s="227">
        <v>0.91896339999999999</v>
      </c>
      <c r="Q543" s="227">
        <v>0.56858850000000005</v>
      </c>
      <c r="R543" s="227">
        <v>0.74843470000000001</v>
      </c>
      <c r="S543" s="227">
        <v>1</v>
      </c>
      <c r="T543" s="227">
        <v>4141</v>
      </c>
      <c r="U543" s="227" t="s">
        <v>2793</v>
      </c>
    </row>
    <row r="544" spans="1:21" x14ac:dyDescent="0.25">
      <c r="A544" t="s">
        <v>2794</v>
      </c>
      <c r="B544">
        <v>193</v>
      </c>
      <c r="C544">
        <v>0.20460165999999999</v>
      </c>
      <c r="D544">
        <v>0.91823034999999997</v>
      </c>
      <c r="E544">
        <v>0.58483034</v>
      </c>
      <c r="F544">
        <v>0.74854560000000003</v>
      </c>
      <c r="G544">
        <v>1</v>
      </c>
      <c r="H544">
        <v>1668</v>
      </c>
      <c r="I544" t="s">
        <v>2795</v>
      </c>
      <c r="M544" s="227" t="s">
        <v>2794</v>
      </c>
      <c r="N544" s="227">
        <v>193</v>
      </c>
      <c r="O544" s="227">
        <v>0.20460165999999999</v>
      </c>
      <c r="P544" s="227">
        <v>0.91823034999999997</v>
      </c>
      <c r="Q544" s="227">
        <v>0.58483034</v>
      </c>
      <c r="R544" s="227">
        <v>0.74854560000000003</v>
      </c>
      <c r="S544" s="227">
        <v>1</v>
      </c>
      <c r="T544" s="227">
        <v>1668</v>
      </c>
      <c r="U544" s="227" t="s">
        <v>2795</v>
      </c>
    </row>
    <row r="545" spans="1:21" x14ac:dyDescent="0.25">
      <c r="A545" t="s">
        <v>2796</v>
      </c>
      <c r="B545">
        <v>165</v>
      </c>
      <c r="C545">
        <v>0.20525546</v>
      </c>
      <c r="D545">
        <v>0.91756486999999998</v>
      </c>
      <c r="E545">
        <v>0.62708719999999996</v>
      </c>
      <c r="F545">
        <v>0.74850349999999999</v>
      </c>
      <c r="G545">
        <v>1</v>
      </c>
      <c r="H545">
        <v>5283</v>
      </c>
      <c r="I545" t="s">
        <v>2797</v>
      </c>
      <c r="M545" s="227" t="s">
        <v>2796</v>
      </c>
      <c r="N545" s="227">
        <v>165</v>
      </c>
      <c r="O545" s="227">
        <v>0.20525546</v>
      </c>
      <c r="P545" s="227">
        <v>0.91756486999999998</v>
      </c>
      <c r="Q545" s="227">
        <v>0.62708719999999996</v>
      </c>
      <c r="R545" s="227">
        <v>0.74850349999999999</v>
      </c>
      <c r="S545" s="227">
        <v>1</v>
      </c>
      <c r="T545" s="227">
        <v>5283</v>
      </c>
      <c r="U545" s="227" t="s">
        <v>2797</v>
      </c>
    </row>
    <row r="546" spans="1:21" x14ac:dyDescent="0.25">
      <c r="A546" t="s">
        <v>2798</v>
      </c>
      <c r="B546">
        <v>85</v>
      </c>
      <c r="C546">
        <v>0.23508538000000001</v>
      </c>
      <c r="D546">
        <v>0.91562339999999998</v>
      </c>
      <c r="E546">
        <v>0.59586465</v>
      </c>
      <c r="F546">
        <v>0.75111455000000005</v>
      </c>
      <c r="G546">
        <v>1</v>
      </c>
      <c r="H546">
        <v>5668</v>
      </c>
      <c r="I546" t="s">
        <v>2799</v>
      </c>
      <c r="M546" s="227" t="s">
        <v>2798</v>
      </c>
      <c r="N546" s="227">
        <v>85</v>
      </c>
      <c r="O546" s="227">
        <v>0.23508538000000001</v>
      </c>
      <c r="P546" s="227">
        <v>0.91562339999999998</v>
      </c>
      <c r="Q546" s="227">
        <v>0.59586465</v>
      </c>
      <c r="R546" s="227">
        <v>0.75111455000000005</v>
      </c>
      <c r="S546" s="227">
        <v>1</v>
      </c>
      <c r="T546" s="227">
        <v>5668</v>
      </c>
      <c r="U546" s="227" t="s">
        <v>2799</v>
      </c>
    </row>
    <row r="547" spans="1:21" x14ac:dyDescent="0.25">
      <c r="A547" t="s">
        <v>2800</v>
      </c>
      <c r="B547">
        <v>36</v>
      </c>
      <c r="C547">
        <v>0.25828367000000002</v>
      </c>
      <c r="D547">
        <v>0.91527409999999998</v>
      </c>
      <c r="E547">
        <v>0.62637365</v>
      </c>
      <c r="F547">
        <v>0.75041869999999999</v>
      </c>
      <c r="G547">
        <v>1</v>
      </c>
      <c r="H547">
        <v>2539</v>
      </c>
      <c r="I547" t="s">
        <v>2287</v>
      </c>
      <c r="M547" s="227" t="s">
        <v>2800</v>
      </c>
      <c r="N547" s="227">
        <v>36</v>
      </c>
      <c r="O547" s="227">
        <v>0.25828367000000002</v>
      </c>
      <c r="P547" s="227">
        <v>0.91527409999999998</v>
      </c>
      <c r="Q547" s="227">
        <v>0.62637365</v>
      </c>
      <c r="R547" s="227">
        <v>0.75041869999999999</v>
      </c>
      <c r="S547" s="227">
        <v>1</v>
      </c>
      <c r="T547" s="227">
        <v>2539</v>
      </c>
      <c r="U547" s="227" t="s">
        <v>2287</v>
      </c>
    </row>
    <row r="548" spans="1:21" x14ac:dyDescent="0.25">
      <c r="A548" t="s">
        <v>2801</v>
      </c>
      <c r="B548">
        <v>141</v>
      </c>
      <c r="C548">
        <v>0.19361506000000001</v>
      </c>
      <c r="D548">
        <v>0.91427650000000005</v>
      </c>
      <c r="E548">
        <v>0.61960786999999995</v>
      </c>
      <c r="F548">
        <v>0.75097020000000003</v>
      </c>
      <c r="G548">
        <v>1</v>
      </c>
      <c r="H548">
        <v>5334</v>
      </c>
      <c r="I548" t="s">
        <v>2802</v>
      </c>
      <c r="M548" s="227" t="s">
        <v>2801</v>
      </c>
      <c r="N548" s="227">
        <v>141</v>
      </c>
      <c r="O548" s="227">
        <v>0.19361506000000001</v>
      </c>
      <c r="P548" s="227">
        <v>0.91427650000000005</v>
      </c>
      <c r="Q548" s="227">
        <v>0.61960786999999995</v>
      </c>
      <c r="R548" s="227">
        <v>0.75097020000000003</v>
      </c>
      <c r="S548" s="227">
        <v>1</v>
      </c>
      <c r="T548" s="227">
        <v>5334</v>
      </c>
      <c r="U548" s="227" t="s">
        <v>2802</v>
      </c>
    </row>
    <row r="549" spans="1:21" x14ac:dyDescent="0.25">
      <c r="A549" t="s">
        <v>2803</v>
      </c>
      <c r="B549">
        <v>42</v>
      </c>
      <c r="C549">
        <v>0.31395295000000001</v>
      </c>
      <c r="D549">
        <v>0.9138577</v>
      </c>
      <c r="E549">
        <v>0.57720590000000005</v>
      </c>
      <c r="F549">
        <v>0.75041586000000005</v>
      </c>
      <c r="G549">
        <v>1</v>
      </c>
      <c r="H549">
        <v>3367</v>
      </c>
      <c r="I549" t="s">
        <v>2366</v>
      </c>
      <c r="M549" s="227" t="s">
        <v>2803</v>
      </c>
      <c r="N549" s="227">
        <v>42</v>
      </c>
      <c r="O549" s="227">
        <v>0.31395295000000001</v>
      </c>
      <c r="P549" s="227">
        <v>0.9138577</v>
      </c>
      <c r="Q549" s="227">
        <v>0.57720590000000005</v>
      </c>
      <c r="R549" s="227">
        <v>0.75041586000000005</v>
      </c>
      <c r="S549" s="227">
        <v>1</v>
      </c>
      <c r="T549" s="227">
        <v>3367</v>
      </c>
      <c r="U549" s="227" t="s">
        <v>2366</v>
      </c>
    </row>
    <row r="550" spans="1:21" x14ac:dyDescent="0.25">
      <c r="A550" t="s">
        <v>2804</v>
      </c>
      <c r="B550">
        <v>53</v>
      </c>
      <c r="C550">
        <v>0.24965430999999999</v>
      </c>
      <c r="D550">
        <v>0.91266700000000001</v>
      </c>
      <c r="E550">
        <v>0.54174756999999996</v>
      </c>
      <c r="F550">
        <v>0.75135589999999997</v>
      </c>
      <c r="G550">
        <v>1</v>
      </c>
      <c r="H550">
        <v>4488</v>
      </c>
      <c r="I550" t="s">
        <v>2391</v>
      </c>
      <c r="M550" s="227" t="s">
        <v>2804</v>
      </c>
      <c r="N550" s="227">
        <v>53</v>
      </c>
      <c r="O550" s="227">
        <v>0.24965430999999999</v>
      </c>
      <c r="P550" s="227">
        <v>0.91266700000000001</v>
      </c>
      <c r="Q550" s="227">
        <v>0.54174756999999996</v>
      </c>
      <c r="R550" s="227">
        <v>0.75135589999999997</v>
      </c>
      <c r="S550" s="227">
        <v>1</v>
      </c>
      <c r="T550" s="227">
        <v>4488</v>
      </c>
      <c r="U550" s="227" t="s">
        <v>2391</v>
      </c>
    </row>
    <row r="551" spans="1:21" x14ac:dyDescent="0.25">
      <c r="A551" t="s">
        <v>2805</v>
      </c>
      <c r="B551">
        <v>142</v>
      </c>
      <c r="C551">
        <v>0.20450952999999999</v>
      </c>
      <c r="D551">
        <v>0.91177549999999996</v>
      </c>
      <c r="E551">
        <v>0.64432029999999996</v>
      </c>
      <c r="F551">
        <v>0.75177119999999997</v>
      </c>
      <c r="G551">
        <v>1</v>
      </c>
      <c r="H551">
        <v>4358</v>
      </c>
      <c r="I551" t="s">
        <v>2806</v>
      </c>
      <c r="M551" s="227" t="s">
        <v>2805</v>
      </c>
      <c r="N551" s="227">
        <v>142</v>
      </c>
      <c r="O551" s="227">
        <v>0.20450952999999999</v>
      </c>
      <c r="P551" s="227">
        <v>0.91177549999999996</v>
      </c>
      <c r="Q551" s="227">
        <v>0.64432029999999996</v>
      </c>
      <c r="R551" s="227">
        <v>0.75177119999999997</v>
      </c>
      <c r="S551" s="227">
        <v>1</v>
      </c>
      <c r="T551" s="227">
        <v>4358</v>
      </c>
      <c r="U551" s="227" t="s">
        <v>2806</v>
      </c>
    </row>
    <row r="552" spans="1:21" x14ac:dyDescent="0.25">
      <c r="A552" t="s">
        <v>2807</v>
      </c>
      <c r="B552">
        <v>36</v>
      </c>
      <c r="C552">
        <v>0.24733964</v>
      </c>
      <c r="D552">
        <v>0.91010356000000003</v>
      </c>
      <c r="E552">
        <v>0.60154735999999998</v>
      </c>
      <c r="F552">
        <v>0.75367826000000004</v>
      </c>
      <c r="G552">
        <v>1</v>
      </c>
      <c r="H552">
        <v>4405</v>
      </c>
      <c r="I552" t="s">
        <v>2672</v>
      </c>
      <c r="M552" s="227" t="s">
        <v>2807</v>
      </c>
      <c r="N552" s="227">
        <v>36</v>
      </c>
      <c r="O552" s="227">
        <v>0.24733964</v>
      </c>
      <c r="P552" s="227">
        <v>0.91010356000000003</v>
      </c>
      <c r="Q552" s="227">
        <v>0.60154735999999998</v>
      </c>
      <c r="R552" s="227">
        <v>0.75367826000000004</v>
      </c>
      <c r="S552" s="227">
        <v>1</v>
      </c>
      <c r="T552" s="227">
        <v>4405</v>
      </c>
      <c r="U552" s="227" t="s">
        <v>2672</v>
      </c>
    </row>
    <row r="553" spans="1:21" x14ac:dyDescent="0.25">
      <c r="A553" t="s">
        <v>2808</v>
      </c>
      <c r="B553">
        <v>29</v>
      </c>
      <c r="C553">
        <v>0.28195795000000001</v>
      </c>
      <c r="D553">
        <v>0.90998082999999996</v>
      </c>
      <c r="E553">
        <v>0.57499999999999996</v>
      </c>
      <c r="F553">
        <v>0.75252949999999996</v>
      </c>
      <c r="G553">
        <v>1</v>
      </c>
      <c r="H553">
        <v>1762</v>
      </c>
      <c r="I553" t="s">
        <v>2809</v>
      </c>
      <c r="M553" s="227" t="s">
        <v>2808</v>
      </c>
      <c r="N553" s="227">
        <v>29</v>
      </c>
      <c r="O553" s="227">
        <v>0.28195795000000001</v>
      </c>
      <c r="P553" s="227">
        <v>0.90998082999999996</v>
      </c>
      <c r="Q553" s="227">
        <v>0.57499999999999996</v>
      </c>
      <c r="R553" s="227">
        <v>0.75252949999999996</v>
      </c>
      <c r="S553" s="227">
        <v>1</v>
      </c>
      <c r="T553" s="227">
        <v>1762</v>
      </c>
      <c r="U553" s="227" t="s">
        <v>2809</v>
      </c>
    </row>
    <row r="554" spans="1:21" x14ac:dyDescent="0.25">
      <c r="A554" t="s">
        <v>2810</v>
      </c>
      <c r="B554">
        <v>420</v>
      </c>
      <c r="C554">
        <v>0.18411994000000001</v>
      </c>
      <c r="D554">
        <v>0.90880232999999999</v>
      </c>
      <c r="E554">
        <v>0.64818359999999997</v>
      </c>
      <c r="F554">
        <v>0.75346769999999996</v>
      </c>
      <c r="G554">
        <v>1</v>
      </c>
      <c r="H554">
        <v>5543</v>
      </c>
      <c r="I554" t="s">
        <v>2811</v>
      </c>
      <c r="M554" s="227" t="s">
        <v>2810</v>
      </c>
      <c r="N554" s="227">
        <v>420</v>
      </c>
      <c r="O554" s="227">
        <v>0.18411994000000001</v>
      </c>
      <c r="P554" s="227">
        <v>0.90880232999999999</v>
      </c>
      <c r="Q554" s="227">
        <v>0.64818359999999997</v>
      </c>
      <c r="R554" s="227">
        <v>0.75346769999999996</v>
      </c>
      <c r="S554" s="227">
        <v>1</v>
      </c>
      <c r="T554" s="227">
        <v>5543</v>
      </c>
      <c r="U554" s="227" t="s">
        <v>2811</v>
      </c>
    </row>
    <row r="555" spans="1:21" x14ac:dyDescent="0.25">
      <c r="A555" t="s">
        <v>2812</v>
      </c>
      <c r="B555">
        <v>21</v>
      </c>
      <c r="C555">
        <v>0.29023453999999999</v>
      </c>
      <c r="D555">
        <v>0.90674540000000003</v>
      </c>
      <c r="E555">
        <v>0.58121330000000004</v>
      </c>
      <c r="F555">
        <v>0.75614904999999999</v>
      </c>
      <c r="G555">
        <v>1</v>
      </c>
      <c r="H555">
        <v>4405</v>
      </c>
      <c r="I555" t="s">
        <v>2351</v>
      </c>
      <c r="M555" s="227" t="s">
        <v>2812</v>
      </c>
      <c r="N555" s="227">
        <v>21</v>
      </c>
      <c r="O555" s="227">
        <v>0.29023453999999999</v>
      </c>
      <c r="P555" s="227">
        <v>0.90674540000000003</v>
      </c>
      <c r="Q555" s="227">
        <v>0.58121330000000004</v>
      </c>
      <c r="R555" s="227">
        <v>0.75614904999999999</v>
      </c>
      <c r="S555" s="227">
        <v>1</v>
      </c>
      <c r="T555" s="227">
        <v>4405</v>
      </c>
      <c r="U555" s="227" t="s">
        <v>2351</v>
      </c>
    </row>
    <row r="556" spans="1:21" x14ac:dyDescent="0.25">
      <c r="A556" t="s">
        <v>2813</v>
      </c>
      <c r="B556">
        <v>41</v>
      </c>
      <c r="C556">
        <v>0.25380894999999998</v>
      </c>
      <c r="D556">
        <v>0.90584695000000004</v>
      </c>
      <c r="E556">
        <v>0.62453530000000002</v>
      </c>
      <c r="F556">
        <v>0.75654005999999996</v>
      </c>
      <c r="G556">
        <v>1</v>
      </c>
      <c r="H556">
        <v>4660</v>
      </c>
      <c r="I556" t="s">
        <v>2481</v>
      </c>
      <c r="M556" s="227" t="s">
        <v>2813</v>
      </c>
      <c r="N556" s="227">
        <v>41</v>
      </c>
      <c r="O556" s="227">
        <v>0.25380894999999998</v>
      </c>
      <c r="P556" s="227">
        <v>0.90584695000000004</v>
      </c>
      <c r="Q556" s="227">
        <v>0.62453530000000002</v>
      </c>
      <c r="R556" s="227">
        <v>0.75654005999999996</v>
      </c>
      <c r="S556" s="227">
        <v>1</v>
      </c>
      <c r="T556" s="227">
        <v>4660</v>
      </c>
      <c r="U556" s="227" t="s">
        <v>2481</v>
      </c>
    </row>
    <row r="557" spans="1:21" x14ac:dyDescent="0.25">
      <c r="A557" t="s">
        <v>2814</v>
      </c>
      <c r="B557">
        <v>16</v>
      </c>
      <c r="C557">
        <v>0.32318044000000001</v>
      </c>
      <c r="D557">
        <v>0.90479989999999999</v>
      </c>
      <c r="E557">
        <v>0.57942234999999997</v>
      </c>
      <c r="F557">
        <v>0.75717263999999995</v>
      </c>
      <c r="G557">
        <v>1</v>
      </c>
      <c r="H557">
        <v>6680</v>
      </c>
      <c r="I557" t="s">
        <v>2815</v>
      </c>
      <c r="M557" s="227" t="s">
        <v>2814</v>
      </c>
      <c r="N557" s="227">
        <v>16</v>
      </c>
      <c r="O557" s="227">
        <v>0.32318044000000001</v>
      </c>
      <c r="P557" s="227">
        <v>0.90479989999999999</v>
      </c>
      <c r="Q557" s="227">
        <v>0.57942234999999997</v>
      </c>
      <c r="R557" s="227">
        <v>0.75717263999999995</v>
      </c>
      <c r="S557" s="227">
        <v>1</v>
      </c>
      <c r="T557" s="227">
        <v>6680</v>
      </c>
      <c r="U557" s="227" t="s">
        <v>2815</v>
      </c>
    </row>
    <row r="558" spans="1:21" x14ac:dyDescent="0.25">
      <c r="A558" t="s">
        <v>2816</v>
      </c>
      <c r="B558">
        <v>42</v>
      </c>
      <c r="C558">
        <v>0.28304805999999999</v>
      </c>
      <c r="D558">
        <v>0.9031112</v>
      </c>
      <c r="E558">
        <v>0.59040590000000004</v>
      </c>
      <c r="F558">
        <v>0.75916790000000001</v>
      </c>
      <c r="G558">
        <v>1</v>
      </c>
      <c r="H558">
        <v>5779</v>
      </c>
      <c r="I558" t="s">
        <v>2362</v>
      </c>
      <c r="M558" s="227" t="s">
        <v>2816</v>
      </c>
      <c r="N558" s="227">
        <v>42</v>
      </c>
      <c r="O558" s="227">
        <v>0.28304805999999999</v>
      </c>
      <c r="P558" s="227">
        <v>0.9031112</v>
      </c>
      <c r="Q558" s="227">
        <v>0.59040590000000004</v>
      </c>
      <c r="R558" s="227">
        <v>0.75916790000000001</v>
      </c>
      <c r="S558" s="227">
        <v>1</v>
      </c>
      <c r="T558" s="227">
        <v>5779</v>
      </c>
      <c r="U558" s="227" t="s">
        <v>2362</v>
      </c>
    </row>
    <row r="559" spans="1:21" x14ac:dyDescent="0.25">
      <c r="A559" t="s">
        <v>2817</v>
      </c>
      <c r="B559">
        <v>20</v>
      </c>
      <c r="C559">
        <v>0.30351418000000002</v>
      </c>
      <c r="D559">
        <v>0.90218997000000001</v>
      </c>
      <c r="E559">
        <v>0.5996205</v>
      </c>
      <c r="F559">
        <v>0.75951000000000002</v>
      </c>
      <c r="G559">
        <v>1</v>
      </c>
      <c r="H559">
        <v>7600</v>
      </c>
      <c r="I559" t="s">
        <v>2818</v>
      </c>
      <c r="M559" s="227" t="s">
        <v>2817</v>
      </c>
      <c r="N559" s="227">
        <v>20</v>
      </c>
      <c r="O559" s="227">
        <v>0.30351418000000002</v>
      </c>
      <c r="P559" s="227">
        <v>0.90218997000000001</v>
      </c>
      <c r="Q559" s="227">
        <v>0.5996205</v>
      </c>
      <c r="R559" s="227">
        <v>0.75951000000000002</v>
      </c>
      <c r="S559" s="227">
        <v>1</v>
      </c>
      <c r="T559" s="227">
        <v>7600</v>
      </c>
      <c r="U559" s="227" t="s">
        <v>2818</v>
      </c>
    </row>
    <row r="560" spans="1:21" x14ac:dyDescent="0.25">
      <c r="A560" t="s">
        <v>2819</v>
      </c>
      <c r="B560">
        <v>18</v>
      </c>
      <c r="C560">
        <v>0.28373677000000003</v>
      </c>
      <c r="D560">
        <v>0.89889719999999995</v>
      </c>
      <c r="E560">
        <v>0.61759083999999997</v>
      </c>
      <c r="F560">
        <v>0.7645227</v>
      </c>
      <c r="G560">
        <v>1</v>
      </c>
      <c r="H560">
        <v>8495</v>
      </c>
      <c r="I560" t="s">
        <v>2820</v>
      </c>
      <c r="M560" s="227" t="s">
        <v>2819</v>
      </c>
      <c r="N560" s="227">
        <v>18</v>
      </c>
      <c r="O560" s="227">
        <v>0.28373677000000003</v>
      </c>
      <c r="P560" s="227">
        <v>0.89889719999999995</v>
      </c>
      <c r="Q560" s="227">
        <v>0.61759083999999997</v>
      </c>
      <c r="R560" s="227">
        <v>0.7645227</v>
      </c>
      <c r="S560" s="227">
        <v>1</v>
      </c>
      <c r="T560" s="227">
        <v>8495</v>
      </c>
      <c r="U560" s="227" t="s">
        <v>2820</v>
      </c>
    </row>
    <row r="561" spans="1:21" x14ac:dyDescent="0.25">
      <c r="A561" t="s">
        <v>2821</v>
      </c>
      <c r="B561">
        <v>31</v>
      </c>
      <c r="C561">
        <v>0.24824009999999999</v>
      </c>
      <c r="D561">
        <v>0.89842619999999995</v>
      </c>
      <c r="E561">
        <v>0.625498</v>
      </c>
      <c r="F561">
        <v>0.76418470000000005</v>
      </c>
      <c r="G561">
        <v>1</v>
      </c>
      <c r="H561">
        <v>4477</v>
      </c>
      <c r="I561" t="s">
        <v>2822</v>
      </c>
      <c r="M561" s="227" t="s">
        <v>2821</v>
      </c>
      <c r="N561" s="227">
        <v>31</v>
      </c>
      <c r="O561" s="227">
        <v>0.24824009999999999</v>
      </c>
      <c r="P561" s="227">
        <v>0.89842619999999995</v>
      </c>
      <c r="Q561" s="227">
        <v>0.625498</v>
      </c>
      <c r="R561" s="227">
        <v>0.76418470000000005</v>
      </c>
      <c r="S561" s="227">
        <v>1</v>
      </c>
      <c r="T561" s="227">
        <v>4477</v>
      </c>
      <c r="U561" s="227" t="s">
        <v>2822</v>
      </c>
    </row>
    <row r="562" spans="1:21" x14ac:dyDescent="0.25">
      <c r="A562" t="s">
        <v>2823</v>
      </c>
      <c r="B562">
        <v>49</v>
      </c>
      <c r="C562">
        <v>0.28837573999999999</v>
      </c>
      <c r="D562">
        <v>0.89660364000000004</v>
      </c>
      <c r="E562">
        <v>0.60146253999999999</v>
      </c>
      <c r="F562">
        <v>0.76628596000000004</v>
      </c>
      <c r="G562">
        <v>1</v>
      </c>
      <c r="H562">
        <v>5931</v>
      </c>
      <c r="I562" t="s">
        <v>2824</v>
      </c>
      <c r="M562" s="227" t="s">
        <v>2823</v>
      </c>
      <c r="N562" s="227">
        <v>49</v>
      </c>
      <c r="O562" s="227">
        <v>0.28837573999999999</v>
      </c>
      <c r="P562" s="227">
        <v>0.89660364000000004</v>
      </c>
      <c r="Q562" s="227">
        <v>0.60146253999999999</v>
      </c>
      <c r="R562" s="227">
        <v>0.76628596000000004</v>
      </c>
      <c r="S562" s="227">
        <v>1</v>
      </c>
      <c r="T562" s="227">
        <v>5931</v>
      </c>
      <c r="U562" s="227" t="s">
        <v>2824</v>
      </c>
    </row>
    <row r="563" spans="1:21" x14ac:dyDescent="0.25">
      <c r="A563" t="s">
        <v>2825</v>
      </c>
      <c r="B563">
        <v>21</v>
      </c>
      <c r="C563">
        <v>0.30233842</v>
      </c>
      <c r="D563">
        <v>0.8958005</v>
      </c>
      <c r="E563">
        <v>0.56332700000000002</v>
      </c>
      <c r="F563">
        <v>0.76648419999999995</v>
      </c>
      <c r="G563">
        <v>1</v>
      </c>
      <c r="H563">
        <v>1321</v>
      </c>
      <c r="I563" t="s">
        <v>2826</v>
      </c>
      <c r="M563" s="227" t="s">
        <v>2825</v>
      </c>
      <c r="N563" s="227">
        <v>21</v>
      </c>
      <c r="O563" s="227">
        <v>0.30233842</v>
      </c>
      <c r="P563" s="227">
        <v>0.8958005</v>
      </c>
      <c r="Q563" s="227">
        <v>0.56332700000000002</v>
      </c>
      <c r="R563" s="227">
        <v>0.76648419999999995</v>
      </c>
      <c r="S563" s="227">
        <v>1</v>
      </c>
      <c r="T563" s="227">
        <v>1321</v>
      </c>
      <c r="U563" s="227" t="s">
        <v>2826</v>
      </c>
    </row>
    <row r="564" spans="1:21" x14ac:dyDescent="0.25">
      <c r="A564" t="s">
        <v>2827</v>
      </c>
      <c r="B564">
        <v>47</v>
      </c>
      <c r="C564">
        <v>0.26966183999999999</v>
      </c>
      <c r="D564">
        <v>0.89443010000000001</v>
      </c>
      <c r="E564">
        <v>0.55622490000000002</v>
      </c>
      <c r="F564">
        <v>0.76767945000000004</v>
      </c>
      <c r="G564">
        <v>1</v>
      </c>
      <c r="H564">
        <v>3524</v>
      </c>
      <c r="I564" t="s">
        <v>2828</v>
      </c>
      <c r="M564" s="227" t="s">
        <v>2827</v>
      </c>
      <c r="N564" s="227">
        <v>47</v>
      </c>
      <c r="O564" s="227">
        <v>0.26966183999999999</v>
      </c>
      <c r="P564" s="227">
        <v>0.89443010000000001</v>
      </c>
      <c r="Q564" s="227">
        <v>0.55622490000000002</v>
      </c>
      <c r="R564" s="227">
        <v>0.76767945000000004</v>
      </c>
      <c r="S564" s="227">
        <v>1</v>
      </c>
      <c r="T564" s="227">
        <v>3524</v>
      </c>
      <c r="U564" s="227" t="s">
        <v>2828</v>
      </c>
    </row>
    <row r="565" spans="1:21" x14ac:dyDescent="0.25">
      <c r="A565" t="s">
        <v>2829</v>
      </c>
      <c r="B565">
        <v>134</v>
      </c>
      <c r="C565">
        <v>0.2178456</v>
      </c>
      <c r="D565">
        <v>0.89332085999999999</v>
      </c>
      <c r="E565">
        <v>0.63898915000000001</v>
      </c>
      <c r="F565">
        <v>0.76843846000000005</v>
      </c>
      <c r="G565">
        <v>1</v>
      </c>
      <c r="H565">
        <v>5473</v>
      </c>
      <c r="I565" t="s">
        <v>2361</v>
      </c>
      <c r="M565" s="227" t="s">
        <v>2829</v>
      </c>
      <c r="N565" s="227">
        <v>134</v>
      </c>
      <c r="O565" s="227">
        <v>0.2178456</v>
      </c>
      <c r="P565" s="227">
        <v>0.89332085999999999</v>
      </c>
      <c r="Q565" s="227">
        <v>0.63898915000000001</v>
      </c>
      <c r="R565" s="227">
        <v>0.76843846000000005</v>
      </c>
      <c r="S565" s="227">
        <v>1</v>
      </c>
      <c r="T565" s="227">
        <v>5473</v>
      </c>
      <c r="U565" s="227" t="s">
        <v>2361</v>
      </c>
    </row>
    <row r="566" spans="1:21" x14ac:dyDescent="0.25">
      <c r="A566" t="s">
        <v>2830</v>
      </c>
      <c r="B566">
        <v>37</v>
      </c>
      <c r="C566">
        <v>0.2407398</v>
      </c>
      <c r="D566">
        <v>0.89261749999999995</v>
      </c>
      <c r="E566">
        <v>0.62868369999999996</v>
      </c>
      <c r="F566">
        <v>0.76842993000000004</v>
      </c>
      <c r="G566">
        <v>1</v>
      </c>
      <c r="H566">
        <v>4405</v>
      </c>
      <c r="I566" t="s">
        <v>2831</v>
      </c>
      <c r="M566" s="227" t="s">
        <v>2830</v>
      </c>
      <c r="N566" s="227">
        <v>37</v>
      </c>
      <c r="O566" s="227">
        <v>0.2407398</v>
      </c>
      <c r="P566" s="227">
        <v>0.89261749999999995</v>
      </c>
      <c r="Q566" s="227">
        <v>0.62868369999999996</v>
      </c>
      <c r="R566" s="227">
        <v>0.76842993000000004</v>
      </c>
      <c r="S566" s="227">
        <v>1</v>
      </c>
      <c r="T566" s="227">
        <v>4405</v>
      </c>
      <c r="U566" s="227" t="s">
        <v>2831</v>
      </c>
    </row>
    <row r="567" spans="1:21" x14ac:dyDescent="0.25">
      <c r="A567" t="s">
        <v>2832</v>
      </c>
      <c r="B567">
        <v>159</v>
      </c>
      <c r="C567">
        <v>0.18842639999999999</v>
      </c>
      <c r="D567">
        <v>0.8888296</v>
      </c>
      <c r="E567">
        <v>0.75605535999999995</v>
      </c>
      <c r="F567">
        <v>0.77459913000000002</v>
      </c>
      <c r="G567">
        <v>1</v>
      </c>
      <c r="H567">
        <v>5404</v>
      </c>
      <c r="I567" t="s">
        <v>2833</v>
      </c>
      <c r="M567" s="227" t="s">
        <v>2832</v>
      </c>
      <c r="N567" s="227">
        <v>159</v>
      </c>
      <c r="O567" s="227">
        <v>0.18842639999999999</v>
      </c>
      <c r="P567" s="227">
        <v>0.8888296</v>
      </c>
      <c r="Q567" s="227">
        <v>0.75605535999999995</v>
      </c>
      <c r="R567" s="227">
        <v>0.77459913000000002</v>
      </c>
      <c r="S567" s="227">
        <v>1</v>
      </c>
      <c r="T567" s="227">
        <v>5404</v>
      </c>
      <c r="U567" s="227" t="s">
        <v>2833</v>
      </c>
    </row>
    <row r="568" spans="1:21" x14ac:dyDescent="0.25">
      <c r="A568" t="s">
        <v>2834</v>
      </c>
      <c r="B568">
        <v>22</v>
      </c>
      <c r="C568">
        <v>0.27754119999999999</v>
      </c>
      <c r="D568">
        <v>0.88814789999999999</v>
      </c>
      <c r="E568">
        <v>0.64325319999999997</v>
      </c>
      <c r="F568">
        <v>0.77458053999999998</v>
      </c>
      <c r="G568">
        <v>1</v>
      </c>
      <c r="H568">
        <v>2539</v>
      </c>
      <c r="I568" t="s">
        <v>2346</v>
      </c>
      <c r="M568" s="227" t="s">
        <v>2834</v>
      </c>
      <c r="N568" s="227">
        <v>22</v>
      </c>
      <c r="O568" s="227">
        <v>0.27754119999999999</v>
      </c>
      <c r="P568" s="227">
        <v>0.88814789999999999</v>
      </c>
      <c r="Q568" s="227">
        <v>0.64325319999999997</v>
      </c>
      <c r="R568" s="227">
        <v>0.77458053999999998</v>
      </c>
      <c r="S568" s="227">
        <v>1</v>
      </c>
      <c r="T568" s="227">
        <v>2539</v>
      </c>
      <c r="U568" s="227" t="s">
        <v>2346</v>
      </c>
    </row>
    <row r="569" spans="1:21" x14ac:dyDescent="0.25">
      <c r="A569" t="s">
        <v>2835</v>
      </c>
      <c r="B569">
        <v>191</v>
      </c>
      <c r="C569">
        <v>0.19237264000000001</v>
      </c>
      <c r="D569">
        <v>0.88446939999999996</v>
      </c>
      <c r="E569">
        <v>0.63372092999999996</v>
      </c>
      <c r="F569">
        <v>0.78059703000000003</v>
      </c>
      <c r="G569">
        <v>1</v>
      </c>
      <c r="H569">
        <v>5972</v>
      </c>
      <c r="I569" t="s">
        <v>2836</v>
      </c>
      <c r="M569" s="227" t="s">
        <v>2835</v>
      </c>
      <c r="N569" s="227">
        <v>191</v>
      </c>
      <c r="O569" s="227">
        <v>0.19237264000000001</v>
      </c>
      <c r="P569" s="227">
        <v>0.88446939999999996</v>
      </c>
      <c r="Q569" s="227">
        <v>0.63372092999999996</v>
      </c>
      <c r="R569" s="227">
        <v>0.78059703000000003</v>
      </c>
      <c r="S569" s="227">
        <v>1</v>
      </c>
      <c r="T569" s="227">
        <v>5972</v>
      </c>
      <c r="U569" s="227" t="s">
        <v>2836</v>
      </c>
    </row>
    <row r="570" spans="1:21" x14ac:dyDescent="0.25">
      <c r="A570" t="s">
        <v>2837</v>
      </c>
      <c r="B570">
        <v>31</v>
      </c>
      <c r="C570">
        <v>0.25169049999999998</v>
      </c>
      <c r="D570">
        <v>0.88117979999999996</v>
      </c>
      <c r="E570">
        <v>0.63035019999999997</v>
      </c>
      <c r="F570">
        <v>0.78561133000000005</v>
      </c>
      <c r="G570">
        <v>1</v>
      </c>
      <c r="H570">
        <v>3616</v>
      </c>
      <c r="I570" t="s">
        <v>2838</v>
      </c>
      <c r="M570" s="227" t="s">
        <v>2837</v>
      </c>
      <c r="N570" s="227">
        <v>31</v>
      </c>
      <c r="O570" s="227">
        <v>0.25169049999999998</v>
      </c>
      <c r="P570" s="227">
        <v>0.88117979999999996</v>
      </c>
      <c r="Q570" s="227">
        <v>0.63035019999999997</v>
      </c>
      <c r="R570" s="227">
        <v>0.78561133000000005</v>
      </c>
      <c r="S570" s="227">
        <v>1</v>
      </c>
      <c r="T570" s="227">
        <v>3616</v>
      </c>
      <c r="U570" s="227" t="s">
        <v>2838</v>
      </c>
    </row>
    <row r="571" spans="1:21" x14ac:dyDescent="0.25">
      <c r="A571" t="s">
        <v>2839</v>
      </c>
      <c r="B571">
        <v>42</v>
      </c>
      <c r="C571">
        <v>0.25060295999999999</v>
      </c>
      <c r="D571">
        <v>0.87921689999999997</v>
      </c>
      <c r="E571">
        <v>0.61174244</v>
      </c>
      <c r="F571">
        <v>0.78792459999999997</v>
      </c>
      <c r="G571">
        <v>1</v>
      </c>
      <c r="H571">
        <v>6378</v>
      </c>
      <c r="I571" t="s">
        <v>2840</v>
      </c>
      <c r="M571" s="227" t="s">
        <v>2839</v>
      </c>
      <c r="N571" s="227">
        <v>42</v>
      </c>
      <c r="O571" s="227">
        <v>0.25060295999999999</v>
      </c>
      <c r="P571" s="227">
        <v>0.87921689999999997</v>
      </c>
      <c r="Q571" s="227">
        <v>0.61174244</v>
      </c>
      <c r="R571" s="227">
        <v>0.78792459999999997</v>
      </c>
      <c r="S571" s="227">
        <v>1</v>
      </c>
      <c r="T571" s="227">
        <v>6378</v>
      </c>
      <c r="U571" s="227" t="s">
        <v>2840</v>
      </c>
    </row>
    <row r="572" spans="1:21" x14ac:dyDescent="0.25">
      <c r="A572" t="s">
        <v>2841</v>
      </c>
      <c r="B572">
        <v>22</v>
      </c>
      <c r="C572">
        <v>0.29480200000000001</v>
      </c>
      <c r="D572">
        <v>0.87577707000000005</v>
      </c>
      <c r="E572">
        <v>0.61721610000000005</v>
      </c>
      <c r="F572">
        <v>0.79302174000000003</v>
      </c>
      <c r="G572">
        <v>1</v>
      </c>
      <c r="H572">
        <v>3367</v>
      </c>
      <c r="I572" t="s">
        <v>2842</v>
      </c>
      <c r="M572" s="227" t="s">
        <v>2841</v>
      </c>
      <c r="N572" s="227">
        <v>22</v>
      </c>
      <c r="O572" s="227">
        <v>0.29480200000000001</v>
      </c>
      <c r="P572" s="227">
        <v>0.87577707000000005</v>
      </c>
      <c r="Q572" s="227">
        <v>0.61721610000000005</v>
      </c>
      <c r="R572" s="227">
        <v>0.79302174000000003</v>
      </c>
      <c r="S572" s="227">
        <v>1</v>
      </c>
      <c r="T572" s="227">
        <v>3367</v>
      </c>
      <c r="U572" s="227" t="s">
        <v>2842</v>
      </c>
    </row>
    <row r="573" spans="1:21" x14ac:dyDescent="0.25">
      <c r="A573" t="s">
        <v>2843</v>
      </c>
      <c r="B573">
        <v>451</v>
      </c>
      <c r="C573">
        <v>0.17985884999999999</v>
      </c>
      <c r="D573">
        <v>0.873834</v>
      </c>
      <c r="E573">
        <v>0.76611419999999997</v>
      </c>
      <c r="F573">
        <v>0.79543900000000001</v>
      </c>
      <c r="G573">
        <v>1</v>
      </c>
      <c r="H573">
        <v>5781</v>
      </c>
      <c r="I573" t="s">
        <v>2844</v>
      </c>
      <c r="M573" s="227" t="s">
        <v>2843</v>
      </c>
      <c r="N573" s="227">
        <v>451</v>
      </c>
      <c r="O573" s="227">
        <v>0.17985884999999999</v>
      </c>
      <c r="P573" s="227">
        <v>0.873834</v>
      </c>
      <c r="Q573" s="227">
        <v>0.76611419999999997</v>
      </c>
      <c r="R573" s="227">
        <v>0.79543900000000001</v>
      </c>
      <c r="S573" s="227">
        <v>1</v>
      </c>
      <c r="T573" s="227">
        <v>5781</v>
      </c>
      <c r="U573" s="227" t="s">
        <v>2844</v>
      </c>
    </row>
    <row r="574" spans="1:21" x14ac:dyDescent="0.25">
      <c r="A574" t="s">
        <v>2845</v>
      </c>
      <c r="B574">
        <v>43</v>
      </c>
      <c r="C574">
        <v>0.25796804000000001</v>
      </c>
      <c r="D574">
        <v>0.87337505999999998</v>
      </c>
      <c r="E574">
        <v>0.64864860000000002</v>
      </c>
      <c r="F574">
        <v>0.79487019999999997</v>
      </c>
      <c r="G574">
        <v>1</v>
      </c>
      <c r="H574">
        <v>7570</v>
      </c>
      <c r="I574" t="s">
        <v>2846</v>
      </c>
      <c r="M574" s="227" t="s">
        <v>2845</v>
      </c>
      <c r="N574" s="227">
        <v>43</v>
      </c>
      <c r="O574" s="227">
        <v>0.25796804000000001</v>
      </c>
      <c r="P574" s="227">
        <v>0.87337505999999998</v>
      </c>
      <c r="Q574" s="227">
        <v>0.64864860000000002</v>
      </c>
      <c r="R574" s="227">
        <v>0.79487019999999997</v>
      </c>
      <c r="S574" s="227">
        <v>1</v>
      </c>
      <c r="T574" s="227">
        <v>7570</v>
      </c>
      <c r="U574" s="227" t="s">
        <v>2846</v>
      </c>
    </row>
    <row r="575" spans="1:21" x14ac:dyDescent="0.25">
      <c r="A575" t="s">
        <v>2847</v>
      </c>
      <c r="B575">
        <v>20</v>
      </c>
      <c r="C575">
        <v>0.25559890000000002</v>
      </c>
      <c r="D575">
        <v>0.87335443000000001</v>
      </c>
      <c r="E575">
        <v>0.63269233999999996</v>
      </c>
      <c r="F575">
        <v>0.79352500000000004</v>
      </c>
      <c r="G575">
        <v>1</v>
      </c>
      <c r="H575">
        <v>1559</v>
      </c>
      <c r="I575" t="s">
        <v>2848</v>
      </c>
      <c r="M575" s="227" t="s">
        <v>2847</v>
      </c>
      <c r="N575" s="227">
        <v>20</v>
      </c>
      <c r="O575" s="227">
        <v>0.25559890000000002</v>
      </c>
      <c r="P575" s="227">
        <v>0.87335443000000001</v>
      </c>
      <c r="Q575" s="227">
        <v>0.63269233999999996</v>
      </c>
      <c r="R575" s="227">
        <v>0.79352500000000004</v>
      </c>
      <c r="S575" s="227">
        <v>1</v>
      </c>
      <c r="T575" s="227">
        <v>1559</v>
      </c>
      <c r="U575" s="227" t="s">
        <v>2848</v>
      </c>
    </row>
    <row r="576" spans="1:21" x14ac:dyDescent="0.25">
      <c r="A576" t="s">
        <v>2849</v>
      </c>
      <c r="B576">
        <v>31</v>
      </c>
      <c r="C576">
        <v>0.24661082000000001</v>
      </c>
      <c r="D576">
        <v>0.87331119999999995</v>
      </c>
      <c r="E576">
        <v>0.62475440000000004</v>
      </c>
      <c r="F576">
        <v>0.79222729999999997</v>
      </c>
      <c r="G576">
        <v>1</v>
      </c>
      <c r="H576">
        <v>1243</v>
      </c>
      <c r="I576" t="s">
        <v>2850</v>
      </c>
      <c r="M576" s="227" t="s">
        <v>2849</v>
      </c>
      <c r="N576" s="227">
        <v>31</v>
      </c>
      <c r="O576" s="227">
        <v>0.24661082000000001</v>
      </c>
      <c r="P576" s="227">
        <v>0.87331119999999995</v>
      </c>
      <c r="Q576" s="227">
        <v>0.62475440000000004</v>
      </c>
      <c r="R576" s="227">
        <v>0.79222729999999997</v>
      </c>
      <c r="S576" s="227">
        <v>1</v>
      </c>
      <c r="T576" s="227">
        <v>1243</v>
      </c>
      <c r="U576" s="227" t="s">
        <v>2850</v>
      </c>
    </row>
    <row r="577" spans="1:21" x14ac:dyDescent="0.25">
      <c r="A577" t="s">
        <v>2851</v>
      </c>
      <c r="B577">
        <v>19</v>
      </c>
      <c r="C577">
        <v>0.28040752000000002</v>
      </c>
      <c r="D577">
        <v>0.87294859999999996</v>
      </c>
      <c r="E577">
        <v>0.63518520000000001</v>
      </c>
      <c r="F577">
        <v>0.79151340000000003</v>
      </c>
      <c r="G577">
        <v>1</v>
      </c>
      <c r="H577">
        <v>7280</v>
      </c>
      <c r="I577" t="s">
        <v>2852</v>
      </c>
      <c r="M577" s="227" t="s">
        <v>2851</v>
      </c>
      <c r="N577" s="227">
        <v>19</v>
      </c>
      <c r="O577" s="227">
        <v>0.28040752000000002</v>
      </c>
      <c r="P577" s="227">
        <v>0.87294859999999996</v>
      </c>
      <c r="Q577" s="227">
        <v>0.63518520000000001</v>
      </c>
      <c r="R577" s="227">
        <v>0.79151340000000003</v>
      </c>
      <c r="S577" s="227">
        <v>1</v>
      </c>
      <c r="T577" s="227">
        <v>7280</v>
      </c>
      <c r="U577" s="227" t="s">
        <v>2852</v>
      </c>
    </row>
    <row r="578" spans="1:21" x14ac:dyDescent="0.25">
      <c r="A578" t="s">
        <v>2853</v>
      </c>
      <c r="B578">
        <v>24</v>
      </c>
      <c r="C578">
        <v>0.28860459999999999</v>
      </c>
      <c r="D578">
        <v>0.86995829999999996</v>
      </c>
      <c r="E578">
        <v>0.63533837000000004</v>
      </c>
      <c r="F578">
        <v>0.79580249999999997</v>
      </c>
      <c r="G578">
        <v>1</v>
      </c>
      <c r="H578">
        <v>7280</v>
      </c>
      <c r="I578" t="s">
        <v>2854</v>
      </c>
      <c r="M578" s="227" t="s">
        <v>2853</v>
      </c>
      <c r="N578" s="227">
        <v>24</v>
      </c>
      <c r="O578" s="227">
        <v>0.28860459999999999</v>
      </c>
      <c r="P578" s="227">
        <v>0.86995829999999996</v>
      </c>
      <c r="Q578" s="227">
        <v>0.63533837000000004</v>
      </c>
      <c r="R578" s="227">
        <v>0.79580249999999997</v>
      </c>
      <c r="S578" s="227">
        <v>1</v>
      </c>
      <c r="T578" s="227">
        <v>7280</v>
      </c>
      <c r="U578" s="227" t="s">
        <v>2854</v>
      </c>
    </row>
    <row r="579" spans="1:21" x14ac:dyDescent="0.25">
      <c r="A579" t="s">
        <v>2855</v>
      </c>
      <c r="B579">
        <v>22</v>
      </c>
      <c r="C579">
        <v>0.26641480000000001</v>
      </c>
      <c r="D579">
        <v>0.86799514</v>
      </c>
      <c r="E579">
        <v>0.6500956</v>
      </c>
      <c r="F579">
        <v>0.79818920000000004</v>
      </c>
      <c r="G579">
        <v>1</v>
      </c>
      <c r="H579">
        <v>7388</v>
      </c>
      <c r="I579" t="s">
        <v>2856</v>
      </c>
      <c r="M579" s="227" t="s">
        <v>2855</v>
      </c>
      <c r="N579" s="227">
        <v>22</v>
      </c>
      <c r="O579" s="227">
        <v>0.26641480000000001</v>
      </c>
      <c r="P579" s="227">
        <v>0.86799514</v>
      </c>
      <c r="Q579" s="227">
        <v>0.6500956</v>
      </c>
      <c r="R579" s="227">
        <v>0.79818920000000004</v>
      </c>
      <c r="S579" s="227">
        <v>1</v>
      </c>
      <c r="T579" s="227">
        <v>7388</v>
      </c>
      <c r="U579" s="227" t="s">
        <v>2856</v>
      </c>
    </row>
    <row r="580" spans="1:21" x14ac:dyDescent="0.25">
      <c r="A580" t="s">
        <v>2857</v>
      </c>
      <c r="B580">
        <v>28</v>
      </c>
      <c r="C580">
        <v>0.27830237000000002</v>
      </c>
      <c r="D580">
        <v>0.86691505000000002</v>
      </c>
      <c r="E580">
        <v>0.60080650000000002</v>
      </c>
      <c r="F580">
        <v>0.79894770000000004</v>
      </c>
      <c r="G580">
        <v>1</v>
      </c>
      <c r="H580">
        <v>1924</v>
      </c>
      <c r="I580" t="s">
        <v>2094</v>
      </c>
      <c r="M580" s="227" t="s">
        <v>2857</v>
      </c>
      <c r="N580" s="227">
        <v>28</v>
      </c>
      <c r="O580" s="227">
        <v>0.27830237000000002</v>
      </c>
      <c r="P580" s="227">
        <v>0.86691505000000002</v>
      </c>
      <c r="Q580" s="227">
        <v>0.60080650000000002</v>
      </c>
      <c r="R580" s="227">
        <v>0.79894770000000004</v>
      </c>
      <c r="S580" s="227">
        <v>1</v>
      </c>
      <c r="T580" s="227">
        <v>1924</v>
      </c>
      <c r="U580" s="227" t="s">
        <v>2094</v>
      </c>
    </row>
    <row r="581" spans="1:21" x14ac:dyDescent="0.25">
      <c r="A581" t="s">
        <v>2858</v>
      </c>
      <c r="B581">
        <v>47</v>
      </c>
      <c r="C581">
        <v>0.24606692999999999</v>
      </c>
      <c r="D581">
        <v>0.86681395999999999</v>
      </c>
      <c r="E581">
        <v>0.6516634</v>
      </c>
      <c r="F581">
        <v>0.79774076000000005</v>
      </c>
      <c r="G581">
        <v>1</v>
      </c>
      <c r="H581">
        <v>8088</v>
      </c>
      <c r="I581" t="s">
        <v>2859</v>
      </c>
      <c r="M581" s="227" t="s">
        <v>2858</v>
      </c>
      <c r="N581" s="227">
        <v>47</v>
      </c>
      <c r="O581" s="227">
        <v>0.24606692999999999</v>
      </c>
      <c r="P581" s="227">
        <v>0.86681395999999999</v>
      </c>
      <c r="Q581" s="227">
        <v>0.6516634</v>
      </c>
      <c r="R581" s="227">
        <v>0.79774076000000005</v>
      </c>
      <c r="S581" s="227">
        <v>1</v>
      </c>
      <c r="T581" s="227">
        <v>8088</v>
      </c>
      <c r="U581" s="227" t="s">
        <v>2859</v>
      </c>
    </row>
    <row r="582" spans="1:21" x14ac:dyDescent="0.25">
      <c r="A582" t="s">
        <v>2860</v>
      </c>
      <c r="B582">
        <v>23</v>
      </c>
      <c r="C582">
        <v>0.27315595999999998</v>
      </c>
      <c r="D582">
        <v>0.8660447</v>
      </c>
      <c r="E582">
        <v>0.63073849999999998</v>
      </c>
      <c r="F582">
        <v>0.79790950000000005</v>
      </c>
      <c r="G582">
        <v>1</v>
      </c>
      <c r="H582">
        <v>5473</v>
      </c>
      <c r="I582" t="s">
        <v>2861</v>
      </c>
      <c r="M582" s="227" t="s">
        <v>2860</v>
      </c>
      <c r="N582" s="227">
        <v>23</v>
      </c>
      <c r="O582" s="227">
        <v>0.27315595999999998</v>
      </c>
      <c r="P582" s="227">
        <v>0.8660447</v>
      </c>
      <c r="Q582" s="227">
        <v>0.63073849999999998</v>
      </c>
      <c r="R582" s="227">
        <v>0.79790950000000005</v>
      </c>
      <c r="S582" s="227">
        <v>1</v>
      </c>
      <c r="T582" s="227">
        <v>5473</v>
      </c>
      <c r="U582" s="227" t="s">
        <v>2861</v>
      </c>
    </row>
    <row r="583" spans="1:21" x14ac:dyDescent="0.25">
      <c r="A583" t="s">
        <v>2862</v>
      </c>
      <c r="B583">
        <v>94</v>
      </c>
      <c r="C583">
        <v>0.23838918000000001</v>
      </c>
      <c r="D583">
        <v>0.86590206999999997</v>
      </c>
      <c r="E583">
        <v>0.58620689999999998</v>
      </c>
      <c r="F583">
        <v>0.79680382999999999</v>
      </c>
      <c r="G583">
        <v>1</v>
      </c>
      <c r="H583">
        <v>4555</v>
      </c>
      <c r="I583" t="s">
        <v>2487</v>
      </c>
      <c r="M583" s="227" t="s">
        <v>2862</v>
      </c>
      <c r="N583" s="227">
        <v>94</v>
      </c>
      <c r="O583" s="227">
        <v>0.23838918000000001</v>
      </c>
      <c r="P583" s="227">
        <v>0.86590206999999997</v>
      </c>
      <c r="Q583" s="227">
        <v>0.58620689999999998</v>
      </c>
      <c r="R583" s="227">
        <v>0.79680382999999999</v>
      </c>
      <c r="S583" s="227">
        <v>1</v>
      </c>
      <c r="T583" s="227">
        <v>4555</v>
      </c>
      <c r="U583" s="227" t="s">
        <v>2487</v>
      </c>
    </row>
    <row r="584" spans="1:21" x14ac:dyDescent="0.25">
      <c r="A584" t="s">
        <v>2863</v>
      </c>
      <c r="B584">
        <v>113</v>
      </c>
      <c r="C584">
        <v>0.18839116</v>
      </c>
      <c r="D584">
        <v>0.86402670000000004</v>
      </c>
      <c r="E584">
        <v>0.70038909999999999</v>
      </c>
      <c r="F584">
        <v>0.79925376000000004</v>
      </c>
      <c r="G584">
        <v>1</v>
      </c>
      <c r="H584">
        <v>1746</v>
      </c>
      <c r="I584" t="s">
        <v>2864</v>
      </c>
      <c r="M584" s="227" t="s">
        <v>2863</v>
      </c>
      <c r="N584" s="227">
        <v>113</v>
      </c>
      <c r="O584" s="227">
        <v>0.18839116</v>
      </c>
      <c r="P584" s="227">
        <v>0.86402670000000004</v>
      </c>
      <c r="Q584" s="227">
        <v>0.70038909999999999</v>
      </c>
      <c r="R584" s="227">
        <v>0.79925376000000004</v>
      </c>
      <c r="S584" s="227">
        <v>1</v>
      </c>
      <c r="T584" s="227">
        <v>1746</v>
      </c>
      <c r="U584" s="227" t="s">
        <v>2864</v>
      </c>
    </row>
    <row r="585" spans="1:21" x14ac:dyDescent="0.25">
      <c r="A585" t="s">
        <v>2865</v>
      </c>
      <c r="B585">
        <v>17</v>
      </c>
      <c r="C585">
        <v>0.28442669999999998</v>
      </c>
      <c r="D585">
        <v>0.86316110000000001</v>
      </c>
      <c r="E585">
        <v>0.64854369999999995</v>
      </c>
      <c r="F585">
        <v>0.79959089999999999</v>
      </c>
      <c r="G585">
        <v>1</v>
      </c>
      <c r="H585">
        <v>4688</v>
      </c>
      <c r="I585" t="s">
        <v>2364</v>
      </c>
      <c r="M585" s="227" t="s">
        <v>2865</v>
      </c>
      <c r="N585" s="227">
        <v>17</v>
      </c>
      <c r="O585" s="227">
        <v>0.28442669999999998</v>
      </c>
      <c r="P585" s="227">
        <v>0.86316110000000001</v>
      </c>
      <c r="Q585" s="227">
        <v>0.64854369999999995</v>
      </c>
      <c r="R585" s="227">
        <v>0.79959089999999999</v>
      </c>
      <c r="S585" s="227">
        <v>1</v>
      </c>
      <c r="T585" s="227">
        <v>4688</v>
      </c>
      <c r="U585" s="227" t="s">
        <v>2364</v>
      </c>
    </row>
    <row r="586" spans="1:21" x14ac:dyDescent="0.25">
      <c r="A586" t="s">
        <v>2866</v>
      </c>
      <c r="B586">
        <v>158</v>
      </c>
      <c r="C586">
        <v>0.20563117</v>
      </c>
      <c r="D586">
        <v>0.86292404</v>
      </c>
      <c r="E586">
        <v>0.68555759999999999</v>
      </c>
      <c r="F586">
        <v>0.79867869999999996</v>
      </c>
      <c r="G586">
        <v>1</v>
      </c>
      <c r="H586">
        <v>4694</v>
      </c>
      <c r="I586" t="s">
        <v>2867</v>
      </c>
      <c r="M586" s="227" t="s">
        <v>2866</v>
      </c>
      <c r="N586" s="227">
        <v>158</v>
      </c>
      <c r="O586" s="227">
        <v>0.20563117</v>
      </c>
      <c r="P586" s="227">
        <v>0.86292404</v>
      </c>
      <c r="Q586" s="227">
        <v>0.68555759999999999</v>
      </c>
      <c r="R586" s="227">
        <v>0.79867869999999996</v>
      </c>
      <c r="S586" s="227">
        <v>1</v>
      </c>
      <c r="T586" s="227">
        <v>4694</v>
      </c>
      <c r="U586" s="227" t="s">
        <v>2867</v>
      </c>
    </row>
    <row r="587" spans="1:21" x14ac:dyDescent="0.25">
      <c r="A587" t="s">
        <v>2868</v>
      </c>
      <c r="B587">
        <v>51</v>
      </c>
      <c r="C587">
        <v>0.27876747000000002</v>
      </c>
      <c r="D587">
        <v>0.86100650000000001</v>
      </c>
      <c r="E587">
        <v>0.62996390000000002</v>
      </c>
      <c r="F587">
        <v>0.80081093000000003</v>
      </c>
      <c r="G587">
        <v>1</v>
      </c>
      <c r="H587">
        <v>2436</v>
      </c>
      <c r="I587" t="s">
        <v>2869</v>
      </c>
      <c r="M587" s="227" t="s">
        <v>2868</v>
      </c>
      <c r="N587" s="227">
        <v>51</v>
      </c>
      <c r="O587" s="227">
        <v>0.27876747000000002</v>
      </c>
      <c r="P587" s="227">
        <v>0.86100650000000001</v>
      </c>
      <c r="Q587" s="227">
        <v>0.62996390000000002</v>
      </c>
      <c r="R587" s="227">
        <v>0.80081093000000003</v>
      </c>
      <c r="S587" s="227">
        <v>1</v>
      </c>
      <c r="T587" s="227">
        <v>2436</v>
      </c>
      <c r="U587" s="227" t="s">
        <v>2869</v>
      </c>
    </row>
    <row r="588" spans="1:21" x14ac:dyDescent="0.25">
      <c r="A588" t="s">
        <v>2870</v>
      </c>
      <c r="B588">
        <v>24</v>
      </c>
      <c r="C588">
        <v>0.28310308000000001</v>
      </c>
      <c r="D588">
        <v>0.86070305000000003</v>
      </c>
      <c r="E588">
        <v>0.6442831</v>
      </c>
      <c r="F588">
        <v>0.79999549999999997</v>
      </c>
      <c r="G588">
        <v>1</v>
      </c>
      <c r="H588">
        <v>7803</v>
      </c>
      <c r="I588" t="s">
        <v>2871</v>
      </c>
      <c r="M588" s="227" t="s">
        <v>2870</v>
      </c>
      <c r="N588" s="227">
        <v>24</v>
      </c>
      <c r="O588" s="227">
        <v>0.28310308000000001</v>
      </c>
      <c r="P588" s="227">
        <v>0.86070305000000003</v>
      </c>
      <c r="Q588" s="227">
        <v>0.6442831</v>
      </c>
      <c r="R588" s="227">
        <v>0.79999549999999997</v>
      </c>
      <c r="S588" s="227">
        <v>1</v>
      </c>
      <c r="T588" s="227">
        <v>7803</v>
      </c>
      <c r="U588" s="227" t="s">
        <v>2871</v>
      </c>
    </row>
    <row r="589" spans="1:21" x14ac:dyDescent="0.25">
      <c r="A589" t="s">
        <v>2872</v>
      </c>
      <c r="B589">
        <v>66</v>
      </c>
      <c r="C589">
        <v>0.20236530999999999</v>
      </c>
      <c r="D589">
        <v>0.85908870000000004</v>
      </c>
      <c r="E589">
        <v>0.71825397000000002</v>
      </c>
      <c r="F589">
        <v>0.80167290000000002</v>
      </c>
      <c r="G589">
        <v>1</v>
      </c>
      <c r="H589">
        <v>3018</v>
      </c>
      <c r="I589" t="s">
        <v>2873</v>
      </c>
      <c r="M589" s="227" t="s">
        <v>2872</v>
      </c>
      <c r="N589" s="227">
        <v>66</v>
      </c>
      <c r="O589" s="227">
        <v>0.20236530999999999</v>
      </c>
      <c r="P589" s="227">
        <v>0.85908870000000004</v>
      </c>
      <c r="Q589" s="227">
        <v>0.71825397000000002</v>
      </c>
      <c r="R589" s="227">
        <v>0.80167290000000002</v>
      </c>
      <c r="S589" s="227">
        <v>1</v>
      </c>
      <c r="T589" s="227">
        <v>3018</v>
      </c>
      <c r="U589" s="227" t="s">
        <v>2873</v>
      </c>
    </row>
    <row r="590" spans="1:21" x14ac:dyDescent="0.25">
      <c r="A590" t="s">
        <v>2874</v>
      </c>
      <c r="B590">
        <v>353</v>
      </c>
      <c r="C590">
        <v>0.16957928</v>
      </c>
      <c r="D590">
        <v>0.8583807</v>
      </c>
      <c r="E590">
        <v>0.74472170000000004</v>
      </c>
      <c r="F590">
        <v>0.80174619999999996</v>
      </c>
      <c r="G590">
        <v>1</v>
      </c>
      <c r="H590">
        <v>5689</v>
      </c>
      <c r="I590" t="s">
        <v>2875</v>
      </c>
      <c r="M590" s="227" t="s">
        <v>2874</v>
      </c>
      <c r="N590" s="227">
        <v>353</v>
      </c>
      <c r="O590" s="227">
        <v>0.16957928</v>
      </c>
      <c r="P590" s="227">
        <v>0.8583807</v>
      </c>
      <c r="Q590" s="227">
        <v>0.74472170000000004</v>
      </c>
      <c r="R590" s="227">
        <v>0.80174619999999996</v>
      </c>
      <c r="S590" s="227">
        <v>1</v>
      </c>
      <c r="T590" s="227">
        <v>5689</v>
      </c>
      <c r="U590" s="227" t="s">
        <v>2875</v>
      </c>
    </row>
    <row r="591" spans="1:21" x14ac:dyDescent="0.25">
      <c r="A591" t="s">
        <v>2876</v>
      </c>
      <c r="B591">
        <v>27</v>
      </c>
      <c r="C591">
        <v>0.31384897</v>
      </c>
      <c r="D591">
        <v>0.85809230000000003</v>
      </c>
      <c r="E591">
        <v>0.68539329999999998</v>
      </c>
      <c r="F591">
        <v>0.80095450000000001</v>
      </c>
      <c r="G591">
        <v>1</v>
      </c>
      <c r="H591">
        <v>5428</v>
      </c>
      <c r="I591" t="s">
        <v>2450</v>
      </c>
      <c r="M591" s="227" t="s">
        <v>2876</v>
      </c>
      <c r="N591" s="227">
        <v>27</v>
      </c>
      <c r="O591" s="227">
        <v>0.31384897</v>
      </c>
      <c r="P591" s="227">
        <v>0.85809230000000003</v>
      </c>
      <c r="Q591" s="227">
        <v>0.68539329999999998</v>
      </c>
      <c r="R591" s="227">
        <v>0.80095450000000001</v>
      </c>
      <c r="S591" s="227">
        <v>1</v>
      </c>
      <c r="T591" s="227">
        <v>5428</v>
      </c>
      <c r="U591" s="227" t="s">
        <v>2450</v>
      </c>
    </row>
    <row r="592" spans="1:21" x14ac:dyDescent="0.25">
      <c r="A592" t="s">
        <v>2877</v>
      </c>
      <c r="B592">
        <v>122</v>
      </c>
      <c r="C592">
        <v>0.22267237000000001</v>
      </c>
      <c r="D592">
        <v>0.85624270000000002</v>
      </c>
      <c r="E592">
        <v>0.64176244000000005</v>
      </c>
      <c r="F592">
        <v>0.80300360000000004</v>
      </c>
      <c r="G592">
        <v>1</v>
      </c>
      <c r="H592">
        <v>5409</v>
      </c>
      <c r="I592" t="s">
        <v>2358</v>
      </c>
      <c r="M592" s="227" t="s">
        <v>2877</v>
      </c>
      <c r="N592" s="227">
        <v>122</v>
      </c>
      <c r="O592" s="227">
        <v>0.22267237000000001</v>
      </c>
      <c r="P592" s="227">
        <v>0.85624270000000002</v>
      </c>
      <c r="Q592" s="227">
        <v>0.64176244000000005</v>
      </c>
      <c r="R592" s="227">
        <v>0.80300360000000004</v>
      </c>
      <c r="S592" s="227">
        <v>1</v>
      </c>
      <c r="T592" s="227">
        <v>5409</v>
      </c>
      <c r="U592" s="227" t="s">
        <v>2358</v>
      </c>
    </row>
    <row r="593" spans="1:21" x14ac:dyDescent="0.25">
      <c r="A593" t="s">
        <v>2878</v>
      </c>
      <c r="B593">
        <v>46</v>
      </c>
      <c r="C593">
        <v>0.23796858000000001</v>
      </c>
      <c r="D593">
        <v>0.85410209999999998</v>
      </c>
      <c r="E593">
        <v>0.64338240000000002</v>
      </c>
      <c r="F593">
        <v>0.80573415999999998</v>
      </c>
      <c r="G593">
        <v>1</v>
      </c>
      <c r="H593">
        <v>3458</v>
      </c>
      <c r="I593" t="s">
        <v>2879</v>
      </c>
      <c r="M593" s="227" t="s">
        <v>2878</v>
      </c>
      <c r="N593" s="227">
        <v>46</v>
      </c>
      <c r="O593" s="227">
        <v>0.23796858000000001</v>
      </c>
      <c r="P593" s="227">
        <v>0.85410209999999998</v>
      </c>
      <c r="Q593" s="227">
        <v>0.64338240000000002</v>
      </c>
      <c r="R593" s="227">
        <v>0.80573415999999998</v>
      </c>
      <c r="S593" s="227">
        <v>1</v>
      </c>
      <c r="T593" s="227">
        <v>3458</v>
      </c>
      <c r="U593" s="227" t="s">
        <v>2879</v>
      </c>
    </row>
    <row r="594" spans="1:21" x14ac:dyDescent="0.25">
      <c r="A594" t="s">
        <v>2880</v>
      </c>
      <c r="B594">
        <v>290</v>
      </c>
      <c r="C594">
        <v>0.22106875000000001</v>
      </c>
      <c r="D594">
        <v>0.85178509999999996</v>
      </c>
      <c r="E594">
        <v>0.69021739999999998</v>
      </c>
      <c r="F594">
        <v>0.80864793000000001</v>
      </c>
      <c r="G594">
        <v>1</v>
      </c>
      <c r="H594">
        <v>4768</v>
      </c>
      <c r="I594" t="s">
        <v>2481</v>
      </c>
      <c r="M594" s="227" t="s">
        <v>2880</v>
      </c>
      <c r="N594" s="227">
        <v>290</v>
      </c>
      <c r="O594" s="227">
        <v>0.22106875000000001</v>
      </c>
      <c r="P594" s="227">
        <v>0.85178509999999996</v>
      </c>
      <c r="Q594" s="227">
        <v>0.69021739999999998</v>
      </c>
      <c r="R594" s="227">
        <v>0.80864793000000001</v>
      </c>
      <c r="S594" s="227">
        <v>1</v>
      </c>
      <c r="T594" s="227">
        <v>4768</v>
      </c>
      <c r="U594" s="227" t="s">
        <v>2481</v>
      </c>
    </row>
    <row r="595" spans="1:21" x14ac:dyDescent="0.25">
      <c r="A595" t="s">
        <v>2881</v>
      </c>
      <c r="B595">
        <v>39</v>
      </c>
      <c r="C595">
        <v>0.24313106000000001</v>
      </c>
      <c r="D595">
        <v>0.84831416999999998</v>
      </c>
      <c r="E595">
        <v>0.64618249999999999</v>
      </c>
      <c r="F595">
        <v>0.81368284999999996</v>
      </c>
      <c r="G595">
        <v>1</v>
      </c>
      <c r="H595">
        <v>5428</v>
      </c>
      <c r="I595" t="s">
        <v>2882</v>
      </c>
      <c r="M595" s="227" t="s">
        <v>2881</v>
      </c>
      <c r="N595" s="227">
        <v>39</v>
      </c>
      <c r="O595" s="227">
        <v>0.24313106000000001</v>
      </c>
      <c r="P595" s="227">
        <v>0.84831416999999998</v>
      </c>
      <c r="Q595" s="227">
        <v>0.64618249999999999</v>
      </c>
      <c r="R595" s="227">
        <v>0.81368284999999996</v>
      </c>
      <c r="S595" s="227">
        <v>1</v>
      </c>
      <c r="T595" s="227">
        <v>5428</v>
      </c>
      <c r="U595" s="227" t="s">
        <v>2882</v>
      </c>
    </row>
    <row r="596" spans="1:21" x14ac:dyDescent="0.25">
      <c r="A596" t="s">
        <v>2883</v>
      </c>
      <c r="B596">
        <v>374</v>
      </c>
      <c r="C596">
        <v>0.21942971999999999</v>
      </c>
      <c r="D596">
        <v>0.84814875999999995</v>
      </c>
      <c r="E596">
        <v>0.69741695999999997</v>
      </c>
      <c r="F596">
        <v>0.81260900000000003</v>
      </c>
      <c r="G596">
        <v>1</v>
      </c>
      <c r="H596">
        <v>4832</v>
      </c>
      <c r="I596" t="s">
        <v>2884</v>
      </c>
      <c r="M596" s="227" t="s">
        <v>2883</v>
      </c>
      <c r="N596" s="227">
        <v>374</v>
      </c>
      <c r="O596" s="227">
        <v>0.21942971999999999</v>
      </c>
      <c r="P596" s="227">
        <v>0.84814875999999995</v>
      </c>
      <c r="Q596" s="227">
        <v>0.69741695999999997</v>
      </c>
      <c r="R596" s="227">
        <v>0.81260900000000003</v>
      </c>
      <c r="S596" s="227">
        <v>1</v>
      </c>
      <c r="T596" s="227">
        <v>4832</v>
      </c>
      <c r="U596" s="227" t="s">
        <v>2884</v>
      </c>
    </row>
    <row r="597" spans="1:21" x14ac:dyDescent="0.25">
      <c r="A597" t="s">
        <v>2885</v>
      </c>
      <c r="B597">
        <v>21</v>
      </c>
      <c r="C597">
        <v>0.27313182000000003</v>
      </c>
      <c r="D597">
        <v>0.84589729999999996</v>
      </c>
      <c r="E597">
        <v>0.65154639999999997</v>
      </c>
      <c r="F597">
        <v>0.81557279999999999</v>
      </c>
      <c r="G597">
        <v>1</v>
      </c>
      <c r="H597">
        <v>6327</v>
      </c>
      <c r="I597" t="s">
        <v>2886</v>
      </c>
      <c r="M597" s="227" t="s">
        <v>2885</v>
      </c>
      <c r="N597" s="227">
        <v>21</v>
      </c>
      <c r="O597" s="227">
        <v>0.27313182000000003</v>
      </c>
      <c r="P597" s="227">
        <v>0.84589729999999996</v>
      </c>
      <c r="Q597" s="227">
        <v>0.65154639999999997</v>
      </c>
      <c r="R597" s="227">
        <v>0.81557279999999999</v>
      </c>
      <c r="S597" s="227">
        <v>1</v>
      </c>
      <c r="T597" s="227">
        <v>6327</v>
      </c>
      <c r="U597" s="227" t="s">
        <v>2886</v>
      </c>
    </row>
    <row r="598" spans="1:21" x14ac:dyDescent="0.25">
      <c r="A598" t="s">
        <v>2887</v>
      </c>
      <c r="B598">
        <v>24</v>
      </c>
      <c r="C598">
        <v>0.25091123999999998</v>
      </c>
      <c r="D598">
        <v>0.84563166000000001</v>
      </c>
      <c r="E598">
        <v>0.68154155999999999</v>
      </c>
      <c r="F598">
        <v>0.81475072999999998</v>
      </c>
      <c r="G598">
        <v>1</v>
      </c>
      <c r="H598">
        <v>6327</v>
      </c>
      <c r="I598" t="s">
        <v>2888</v>
      </c>
      <c r="M598" s="227" t="s">
        <v>2887</v>
      </c>
      <c r="N598" s="227">
        <v>24</v>
      </c>
      <c r="O598" s="227">
        <v>0.25091123999999998</v>
      </c>
      <c r="P598" s="227">
        <v>0.84563166000000001</v>
      </c>
      <c r="Q598" s="227">
        <v>0.68154155999999999</v>
      </c>
      <c r="R598" s="227">
        <v>0.81475072999999998</v>
      </c>
      <c r="S598" s="227">
        <v>1</v>
      </c>
      <c r="T598" s="227">
        <v>6327</v>
      </c>
      <c r="U598" s="227" t="s">
        <v>2888</v>
      </c>
    </row>
    <row r="599" spans="1:21" x14ac:dyDescent="0.25">
      <c r="A599" t="s">
        <v>2889</v>
      </c>
      <c r="B599">
        <v>46</v>
      </c>
      <c r="C599">
        <v>0.25090291999999997</v>
      </c>
      <c r="D599">
        <v>0.84456354</v>
      </c>
      <c r="E599">
        <v>0.69372696</v>
      </c>
      <c r="F599">
        <v>0.81533169999999999</v>
      </c>
      <c r="G599">
        <v>1</v>
      </c>
      <c r="H599">
        <v>5994</v>
      </c>
      <c r="I599" t="s">
        <v>2890</v>
      </c>
      <c r="M599" s="227" t="s">
        <v>2889</v>
      </c>
      <c r="N599" s="227">
        <v>46</v>
      </c>
      <c r="O599" s="227">
        <v>0.25090291999999997</v>
      </c>
      <c r="P599" s="227">
        <v>0.84456354</v>
      </c>
      <c r="Q599" s="227">
        <v>0.69372696</v>
      </c>
      <c r="R599" s="227">
        <v>0.81533169999999999</v>
      </c>
      <c r="S599" s="227">
        <v>1</v>
      </c>
      <c r="T599" s="227">
        <v>5994</v>
      </c>
      <c r="U599" s="227" t="s">
        <v>2890</v>
      </c>
    </row>
    <row r="600" spans="1:21" x14ac:dyDescent="0.25">
      <c r="A600" t="s">
        <v>2891</v>
      </c>
      <c r="B600">
        <v>138</v>
      </c>
      <c r="C600">
        <v>0.20448178</v>
      </c>
      <c r="D600">
        <v>0.84375009999999995</v>
      </c>
      <c r="E600">
        <v>0.71561337000000003</v>
      </c>
      <c r="F600">
        <v>0.81541836000000001</v>
      </c>
      <c r="G600">
        <v>1</v>
      </c>
      <c r="H600">
        <v>8281</v>
      </c>
      <c r="I600" t="s">
        <v>2892</v>
      </c>
      <c r="M600" s="227" t="s">
        <v>2891</v>
      </c>
      <c r="N600" s="227">
        <v>138</v>
      </c>
      <c r="O600" s="227">
        <v>0.20448178</v>
      </c>
      <c r="P600" s="227">
        <v>0.84375009999999995</v>
      </c>
      <c r="Q600" s="227">
        <v>0.71561337000000003</v>
      </c>
      <c r="R600" s="227">
        <v>0.81541836000000001</v>
      </c>
      <c r="S600" s="227">
        <v>1</v>
      </c>
      <c r="T600" s="227">
        <v>8281</v>
      </c>
      <c r="U600" s="227" t="s">
        <v>2892</v>
      </c>
    </row>
    <row r="601" spans="1:21" x14ac:dyDescent="0.25">
      <c r="A601" t="s">
        <v>2893</v>
      </c>
      <c r="B601">
        <v>16</v>
      </c>
      <c r="C601">
        <v>0.28500932000000001</v>
      </c>
      <c r="D601">
        <v>0.84337479999999998</v>
      </c>
      <c r="E601">
        <v>0.65362036000000001</v>
      </c>
      <c r="F601">
        <v>0.81474329999999995</v>
      </c>
      <c r="G601">
        <v>1</v>
      </c>
      <c r="H601">
        <v>6</v>
      </c>
      <c r="I601" t="s">
        <v>2894</v>
      </c>
      <c r="M601" s="227" t="s">
        <v>2893</v>
      </c>
      <c r="N601" s="227">
        <v>16</v>
      </c>
      <c r="O601" s="227">
        <v>0.28500932000000001</v>
      </c>
      <c r="P601" s="227">
        <v>0.84337479999999998</v>
      </c>
      <c r="Q601" s="227">
        <v>0.65362036000000001</v>
      </c>
      <c r="R601" s="227">
        <v>0.81474329999999995</v>
      </c>
      <c r="S601" s="227">
        <v>1</v>
      </c>
      <c r="T601" s="227">
        <v>6</v>
      </c>
      <c r="U601" s="227" t="s">
        <v>2894</v>
      </c>
    </row>
    <row r="602" spans="1:21" x14ac:dyDescent="0.25">
      <c r="A602" t="s">
        <v>2895</v>
      </c>
      <c r="B602">
        <v>21</v>
      </c>
      <c r="C602">
        <v>0.27322437999999999</v>
      </c>
      <c r="D602">
        <v>0.84274819999999995</v>
      </c>
      <c r="E602">
        <v>0.67535069999999997</v>
      </c>
      <c r="F602">
        <v>0.81463509999999995</v>
      </c>
      <c r="G602">
        <v>1</v>
      </c>
      <c r="H602">
        <v>1298</v>
      </c>
      <c r="I602" t="s">
        <v>2896</v>
      </c>
      <c r="M602" s="227" t="s">
        <v>2895</v>
      </c>
      <c r="N602" s="227">
        <v>21</v>
      </c>
      <c r="O602" s="227">
        <v>0.27322437999999999</v>
      </c>
      <c r="P602" s="227">
        <v>0.84274819999999995</v>
      </c>
      <c r="Q602" s="227">
        <v>0.67535069999999997</v>
      </c>
      <c r="R602" s="227">
        <v>0.81463509999999995</v>
      </c>
      <c r="S602" s="227">
        <v>1</v>
      </c>
      <c r="T602" s="227">
        <v>1298</v>
      </c>
      <c r="U602" s="227" t="s">
        <v>2896</v>
      </c>
    </row>
    <row r="603" spans="1:21" x14ac:dyDescent="0.25">
      <c r="A603" t="s">
        <v>2897</v>
      </c>
      <c r="B603">
        <v>142</v>
      </c>
      <c r="C603">
        <v>0.20077822000000001</v>
      </c>
      <c r="D603">
        <v>0.84207089999999996</v>
      </c>
      <c r="E603">
        <v>0.79749099999999995</v>
      </c>
      <c r="F603">
        <v>0.81457716000000002</v>
      </c>
      <c r="G603">
        <v>1</v>
      </c>
      <c r="H603">
        <v>7885</v>
      </c>
      <c r="I603" t="s">
        <v>2898</v>
      </c>
      <c r="M603" s="227" t="s">
        <v>2897</v>
      </c>
      <c r="N603" s="227">
        <v>142</v>
      </c>
      <c r="O603" s="227">
        <v>0.20077822000000001</v>
      </c>
      <c r="P603" s="227">
        <v>0.84207089999999996</v>
      </c>
      <c r="Q603" s="227">
        <v>0.79749099999999995</v>
      </c>
      <c r="R603" s="227">
        <v>0.81457716000000002</v>
      </c>
      <c r="S603" s="227">
        <v>1</v>
      </c>
      <c r="T603" s="227">
        <v>7885</v>
      </c>
      <c r="U603" s="227" t="s">
        <v>2898</v>
      </c>
    </row>
    <row r="604" spans="1:21" x14ac:dyDescent="0.25">
      <c r="A604" t="s">
        <v>2899</v>
      </c>
      <c r="B604">
        <v>19</v>
      </c>
      <c r="C604">
        <v>0.27017584</v>
      </c>
      <c r="D604">
        <v>0.84125030000000001</v>
      </c>
      <c r="E604">
        <v>0.70178925999999997</v>
      </c>
      <c r="F604">
        <v>0.81460679999999996</v>
      </c>
      <c r="G604">
        <v>1</v>
      </c>
      <c r="H604">
        <v>6715</v>
      </c>
      <c r="I604" t="s">
        <v>2352</v>
      </c>
      <c r="M604" s="227" t="s">
        <v>2899</v>
      </c>
      <c r="N604" s="227">
        <v>19</v>
      </c>
      <c r="O604" s="227">
        <v>0.27017584</v>
      </c>
      <c r="P604" s="227">
        <v>0.84125030000000001</v>
      </c>
      <c r="Q604" s="227">
        <v>0.70178925999999997</v>
      </c>
      <c r="R604" s="227">
        <v>0.81460679999999996</v>
      </c>
      <c r="S604" s="227">
        <v>1</v>
      </c>
      <c r="T604" s="227">
        <v>6715</v>
      </c>
      <c r="U604" s="227" t="s">
        <v>2352</v>
      </c>
    </row>
    <row r="605" spans="1:21" x14ac:dyDescent="0.25">
      <c r="A605" t="s">
        <v>2900</v>
      </c>
      <c r="B605">
        <v>271</v>
      </c>
      <c r="C605">
        <v>0.16968644999999999</v>
      </c>
      <c r="D605">
        <v>0.84048290000000003</v>
      </c>
      <c r="E605">
        <v>0.73757459999999997</v>
      </c>
      <c r="F605">
        <v>0.81454329999999997</v>
      </c>
      <c r="G605">
        <v>1</v>
      </c>
      <c r="H605">
        <v>5576</v>
      </c>
      <c r="I605" t="s">
        <v>2901</v>
      </c>
      <c r="M605" s="227" t="s">
        <v>2900</v>
      </c>
      <c r="N605" s="227">
        <v>271</v>
      </c>
      <c r="O605" s="227">
        <v>0.16968644999999999</v>
      </c>
      <c r="P605" s="227">
        <v>0.84048290000000003</v>
      </c>
      <c r="Q605" s="227">
        <v>0.73757459999999997</v>
      </c>
      <c r="R605" s="227">
        <v>0.81454329999999997</v>
      </c>
      <c r="S605" s="227">
        <v>1</v>
      </c>
      <c r="T605" s="227">
        <v>5576</v>
      </c>
      <c r="U605" s="227" t="s">
        <v>2901</v>
      </c>
    </row>
    <row r="606" spans="1:21" x14ac:dyDescent="0.25">
      <c r="A606" t="s">
        <v>2902</v>
      </c>
      <c r="B606">
        <v>41</v>
      </c>
      <c r="C606">
        <v>0.24747754999999999</v>
      </c>
      <c r="D606">
        <v>0.8403697</v>
      </c>
      <c r="E606">
        <v>0.67374515999999995</v>
      </c>
      <c r="F606">
        <v>0.81344055999999998</v>
      </c>
      <c r="G606">
        <v>1</v>
      </c>
      <c r="H606">
        <v>8088</v>
      </c>
      <c r="I606" t="s">
        <v>2903</v>
      </c>
      <c r="M606" s="227" t="s">
        <v>2902</v>
      </c>
      <c r="N606" s="227">
        <v>41</v>
      </c>
      <c r="O606" s="227">
        <v>0.24747754999999999</v>
      </c>
      <c r="P606" s="227">
        <v>0.8403697</v>
      </c>
      <c r="Q606" s="227">
        <v>0.67374515999999995</v>
      </c>
      <c r="R606" s="227">
        <v>0.81344055999999998</v>
      </c>
      <c r="S606" s="227">
        <v>1</v>
      </c>
      <c r="T606" s="227">
        <v>8088</v>
      </c>
      <c r="U606" s="227" t="s">
        <v>2903</v>
      </c>
    </row>
    <row r="607" spans="1:21" x14ac:dyDescent="0.25">
      <c r="A607" t="s">
        <v>2904</v>
      </c>
      <c r="B607">
        <v>16</v>
      </c>
      <c r="C607">
        <v>0.28643158000000002</v>
      </c>
      <c r="D607">
        <v>0.83820830000000002</v>
      </c>
      <c r="E607">
        <v>0.70090090000000005</v>
      </c>
      <c r="F607">
        <v>0.81622779999999995</v>
      </c>
      <c r="G607">
        <v>1</v>
      </c>
      <c r="H607">
        <v>5625</v>
      </c>
      <c r="I607" t="s">
        <v>2905</v>
      </c>
      <c r="M607" s="227" t="s">
        <v>2904</v>
      </c>
      <c r="N607" s="227">
        <v>16</v>
      </c>
      <c r="O607" s="227">
        <v>0.28643158000000002</v>
      </c>
      <c r="P607" s="227">
        <v>0.83820830000000002</v>
      </c>
      <c r="Q607" s="227">
        <v>0.70090090000000005</v>
      </c>
      <c r="R607" s="227">
        <v>0.81622779999999995</v>
      </c>
      <c r="S607" s="227">
        <v>1</v>
      </c>
      <c r="T607" s="227">
        <v>5625</v>
      </c>
      <c r="U607" s="227" t="s">
        <v>2905</v>
      </c>
    </row>
    <row r="608" spans="1:21" x14ac:dyDescent="0.25">
      <c r="A608" t="s">
        <v>2906</v>
      </c>
      <c r="B608">
        <v>23</v>
      </c>
      <c r="C608">
        <v>0.25753745</v>
      </c>
      <c r="D608">
        <v>0.83706634999999996</v>
      </c>
      <c r="E608">
        <v>0.67578950000000004</v>
      </c>
      <c r="F608">
        <v>0.81697869999999995</v>
      </c>
      <c r="G608">
        <v>1</v>
      </c>
      <c r="H608">
        <v>2411</v>
      </c>
      <c r="I608" t="s">
        <v>2316</v>
      </c>
      <c r="M608" s="227" t="s">
        <v>2906</v>
      </c>
      <c r="N608" s="227">
        <v>23</v>
      </c>
      <c r="O608" s="227">
        <v>0.25753745</v>
      </c>
      <c r="P608" s="227">
        <v>0.83706634999999996</v>
      </c>
      <c r="Q608" s="227">
        <v>0.67578950000000004</v>
      </c>
      <c r="R608" s="227">
        <v>0.81697869999999995</v>
      </c>
      <c r="S608" s="227">
        <v>1</v>
      </c>
      <c r="T608" s="227">
        <v>2411</v>
      </c>
      <c r="U608" s="227" t="s">
        <v>2316</v>
      </c>
    </row>
    <row r="609" spans="1:21" x14ac:dyDescent="0.25">
      <c r="A609" t="s">
        <v>2907</v>
      </c>
      <c r="B609">
        <v>20</v>
      </c>
      <c r="C609">
        <v>0.30405505999999999</v>
      </c>
      <c r="D609">
        <v>0.83465239999999996</v>
      </c>
      <c r="E609">
        <v>0.63453820000000005</v>
      </c>
      <c r="F609">
        <v>0.82015660000000001</v>
      </c>
      <c r="G609">
        <v>1</v>
      </c>
      <c r="H609">
        <v>346</v>
      </c>
      <c r="I609" t="s">
        <v>2908</v>
      </c>
      <c r="M609" s="227" t="s">
        <v>2907</v>
      </c>
      <c r="N609" s="227">
        <v>20</v>
      </c>
      <c r="O609" s="227">
        <v>0.30405505999999999</v>
      </c>
      <c r="P609" s="227">
        <v>0.83465239999999996</v>
      </c>
      <c r="Q609" s="227">
        <v>0.63453820000000005</v>
      </c>
      <c r="R609" s="227">
        <v>0.82015660000000001</v>
      </c>
      <c r="S609" s="227">
        <v>1</v>
      </c>
      <c r="T609" s="227">
        <v>346</v>
      </c>
      <c r="U609" s="227" t="s">
        <v>2908</v>
      </c>
    </row>
    <row r="610" spans="1:21" x14ac:dyDescent="0.25">
      <c r="A610" t="s">
        <v>2909</v>
      </c>
      <c r="B610">
        <v>22</v>
      </c>
      <c r="C610">
        <v>0.28349084000000002</v>
      </c>
      <c r="D610">
        <v>0.83408959999999999</v>
      </c>
      <c r="E610">
        <v>0.66666669999999995</v>
      </c>
      <c r="F610">
        <v>0.81995960000000001</v>
      </c>
      <c r="G610">
        <v>1</v>
      </c>
      <c r="H610">
        <v>7282</v>
      </c>
      <c r="I610" t="s">
        <v>2910</v>
      </c>
      <c r="M610" s="227" t="s">
        <v>2909</v>
      </c>
      <c r="N610" s="227">
        <v>22</v>
      </c>
      <c r="O610" s="227">
        <v>0.28349084000000002</v>
      </c>
      <c r="P610" s="227">
        <v>0.83408959999999999</v>
      </c>
      <c r="Q610" s="227">
        <v>0.66666669999999995</v>
      </c>
      <c r="R610" s="227">
        <v>0.81995960000000001</v>
      </c>
      <c r="S610" s="227">
        <v>1</v>
      </c>
      <c r="T610" s="227">
        <v>7282</v>
      </c>
      <c r="U610" s="227" t="s">
        <v>2910</v>
      </c>
    </row>
    <row r="611" spans="1:21" x14ac:dyDescent="0.25">
      <c r="A611" t="s">
        <v>2911</v>
      </c>
      <c r="B611">
        <v>37</v>
      </c>
      <c r="C611">
        <v>0.22039875</v>
      </c>
      <c r="D611">
        <v>0.82796219999999998</v>
      </c>
      <c r="E611">
        <v>0.72571426999999999</v>
      </c>
      <c r="F611">
        <v>0.82965949999999999</v>
      </c>
      <c r="G611">
        <v>1</v>
      </c>
      <c r="H611">
        <v>4405</v>
      </c>
      <c r="I611" t="s">
        <v>2831</v>
      </c>
      <c r="M611" s="227" t="s">
        <v>2911</v>
      </c>
      <c r="N611" s="227">
        <v>37</v>
      </c>
      <c r="O611" s="227">
        <v>0.22039875</v>
      </c>
      <c r="P611" s="227">
        <v>0.82796219999999998</v>
      </c>
      <c r="Q611" s="227">
        <v>0.72571426999999999</v>
      </c>
      <c r="R611" s="227">
        <v>0.82965949999999999</v>
      </c>
      <c r="S611" s="227">
        <v>1</v>
      </c>
      <c r="T611" s="227">
        <v>4405</v>
      </c>
      <c r="U611" s="227" t="s">
        <v>2831</v>
      </c>
    </row>
    <row r="612" spans="1:21" x14ac:dyDescent="0.25">
      <c r="A612" t="s">
        <v>2912</v>
      </c>
      <c r="B612">
        <v>25</v>
      </c>
      <c r="C612">
        <v>0.27902539999999998</v>
      </c>
      <c r="D612">
        <v>0.82607763999999995</v>
      </c>
      <c r="E612">
        <v>0.71179884999999998</v>
      </c>
      <c r="F612">
        <v>0.83175944999999996</v>
      </c>
      <c r="G612">
        <v>1</v>
      </c>
      <c r="H612">
        <v>5994</v>
      </c>
      <c r="I612" t="s">
        <v>2754</v>
      </c>
      <c r="M612" s="227" t="s">
        <v>2912</v>
      </c>
      <c r="N612" s="227">
        <v>25</v>
      </c>
      <c r="O612" s="227">
        <v>0.27902539999999998</v>
      </c>
      <c r="P612" s="227">
        <v>0.82607763999999995</v>
      </c>
      <c r="Q612" s="227">
        <v>0.71179884999999998</v>
      </c>
      <c r="R612" s="227">
        <v>0.83175944999999996</v>
      </c>
      <c r="S612" s="227">
        <v>1</v>
      </c>
      <c r="T612" s="227">
        <v>5994</v>
      </c>
      <c r="U612" s="227" t="s">
        <v>2754</v>
      </c>
    </row>
    <row r="613" spans="1:21" x14ac:dyDescent="0.25">
      <c r="A613" t="s">
        <v>2913</v>
      </c>
      <c r="B613">
        <v>31</v>
      </c>
      <c r="C613">
        <v>0.2730861</v>
      </c>
      <c r="D613">
        <v>0.82023020000000002</v>
      </c>
      <c r="E613">
        <v>0.62674653999999996</v>
      </c>
      <c r="F613">
        <v>0.84077424000000001</v>
      </c>
      <c r="G613">
        <v>1</v>
      </c>
      <c r="H613">
        <v>2815</v>
      </c>
      <c r="I613" t="s">
        <v>2279</v>
      </c>
      <c r="M613" s="227" t="s">
        <v>2913</v>
      </c>
      <c r="N613" s="227">
        <v>31</v>
      </c>
      <c r="O613" s="227">
        <v>0.2730861</v>
      </c>
      <c r="P613" s="227">
        <v>0.82023020000000002</v>
      </c>
      <c r="Q613" s="227">
        <v>0.62674653999999996</v>
      </c>
      <c r="R613" s="227">
        <v>0.84077424000000001</v>
      </c>
      <c r="S613" s="227">
        <v>1</v>
      </c>
      <c r="T613" s="227">
        <v>2815</v>
      </c>
      <c r="U613" s="227" t="s">
        <v>2279</v>
      </c>
    </row>
    <row r="614" spans="1:21" x14ac:dyDescent="0.25">
      <c r="A614" t="s">
        <v>2914</v>
      </c>
      <c r="B614">
        <v>15</v>
      </c>
      <c r="C614">
        <v>0.28755312999999999</v>
      </c>
      <c r="D614">
        <v>0.81961360000000005</v>
      </c>
      <c r="E614">
        <v>0.7151052</v>
      </c>
      <c r="F614">
        <v>0.84049470000000004</v>
      </c>
      <c r="G614">
        <v>1</v>
      </c>
      <c r="H614">
        <v>4973</v>
      </c>
      <c r="I614" t="s">
        <v>2915</v>
      </c>
      <c r="M614" s="227" t="s">
        <v>2914</v>
      </c>
      <c r="N614" s="227">
        <v>15</v>
      </c>
      <c r="O614" s="227">
        <v>0.28755312999999999</v>
      </c>
      <c r="P614" s="227">
        <v>0.81961360000000005</v>
      </c>
      <c r="Q614" s="227">
        <v>0.7151052</v>
      </c>
      <c r="R614" s="227">
        <v>0.84049470000000004</v>
      </c>
      <c r="S614" s="227">
        <v>1</v>
      </c>
      <c r="T614" s="227">
        <v>4973</v>
      </c>
      <c r="U614" s="227" t="s">
        <v>2915</v>
      </c>
    </row>
    <row r="615" spans="1:21" x14ac:dyDescent="0.25">
      <c r="A615" t="s">
        <v>2916</v>
      </c>
      <c r="B615">
        <v>56</v>
      </c>
      <c r="C615">
        <v>0.21831017999999999</v>
      </c>
      <c r="D615">
        <v>0.81950973999999999</v>
      </c>
      <c r="E615">
        <v>0.73358350000000005</v>
      </c>
      <c r="F615">
        <v>0.8392984</v>
      </c>
      <c r="G615">
        <v>1</v>
      </c>
      <c r="H615">
        <v>3613</v>
      </c>
      <c r="I615" t="s">
        <v>2347</v>
      </c>
      <c r="M615" s="227" t="s">
        <v>2916</v>
      </c>
      <c r="N615" s="227">
        <v>56</v>
      </c>
      <c r="O615" s="227">
        <v>0.21831017999999999</v>
      </c>
      <c r="P615" s="227">
        <v>0.81950973999999999</v>
      </c>
      <c r="Q615" s="227">
        <v>0.73358350000000005</v>
      </c>
      <c r="R615" s="227">
        <v>0.8392984</v>
      </c>
      <c r="S615" s="227">
        <v>1</v>
      </c>
      <c r="T615" s="227">
        <v>3613</v>
      </c>
      <c r="U615" s="227" t="s">
        <v>2347</v>
      </c>
    </row>
    <row r="616" spans="1:21" x14ac:dyDescent="0.25">
      <c r="A616" t="s">
        <v>2917</v>
      </c>
      <c r="B616">
        <v>155</v>
      </c>
      <c r="C616">
        <v>0.19059392999999999</v>
      </c>
      <c r="D616">
        <v>0.81778139999999999</v>
      </c>
      <c r="E616">
        <v>0.84517306000000003</v>
      </c>
      <c r="F616">
        <v>0.84099740000000001</v>
      </c>
      <c r="G616">
        <v>1</v>
      </c>
      <c r="H616">
        <v>7885</v>
      </c>
      <c r="I616" t="s">
        <v>2918</v>
      </c>
      <c r="M616" s="227" t="s">
        <v>2917</v>
      </c>
      <c r="N616" s="227">
        <v>155</v>
      </c>
      <c r="O616" s="227">
        <v>0.19059392999999999</v>
      </c>
      <c r="P616" s="227">
        <v>0.81778139999999999</v>
      </c>
      <c r="Q616" s="227">
        <v>0.84517306000000003</v>
      </c>
      <c r="R616" s="227">
        <v>0.84099740000000001</v>
      </c>
      <c r="S616" s="227">
        <v>1</v>
      </c>
      <c r="T616" s="227">
        <v>7885</v>
      </c>
      <c r="U616" s="227" t="s">
        <v>2918</v>
      </c>
    </row>
    <row r="617" spans="1:21" x14ac:dyDescent="0.25">
      <c r="A617" t="s">
        <v>2919</v>
      </c>
      <c r="B617">
        <v>32</v>
      </c>
      <c r="C617">
        <v>0.22305585</v>
      </c>
      <c r="D617">
        <v>0.81577915000000001</v>
      </c>
      <c r="E617">
        <v>0.75881259999999995</v>
      </c>
      <c r="F617">
        <v>0.84310012999999995</v>
      </c>
      <c r="G617">
        <v>1</v>
      </c>
      <c r="H617">
        <v>4813</v>
      </c>
      <c r="I617" t="s">
        <v>2920</v>
      </c>
      <c r="M617" s="227" t="s">
        <v>2919</v>
      </c>
      <c r="N617" s="227">
        <v>32</v>
      </c>
      <c r="O617" s="227">
        <v>0.22305585</v>
      </c>
      <c r="P617" s="227">
        <v>0.81577915000000001</v>
      </c>
      <c r="Q617" s="227">
        <v>0.75881259999999995</v>
      </c>
      <c r="R617" s="227">
        <v>0.84310012999999995</v>
      </c>
      <c r="S617" s="227">
        <v>1</v>
      </c>
      <c r="T617" s="227">
        <v>4813</v>
      </c>
      <c r="U617" s="227" t="s">
        <v>2920</v>
      </c>
    </row>
    <row r="618" spans="1:21" x14ac:dyDescent="0.25">
      <c r="A618" t="s">
        <v>2921</v>
      </c>
      <c r="B618">
        <v>412</v>
      </c>
      <c r="C618">
        <v>0.16803489999999999</v>
      </c>
      <c r="D618">
        <v>0.81567705000000001</v>
      </c>
      <c r="E618">
        <v>0.86090224999999998</v>
      </c>
      <c r="F618">
        <v>0.84192586000000003</v>
      </c>
      <c r="G618">
        <v>1</v>
      </c>
      <c r="H618">
        <v>3478</v>
      </c>
      <c r="I618" t="s">
        <v>2670</v>
      </c>
      <c r="M618" s="227" t="s">
        <v>2921</v>
      </c>
      <c r="N618" s="227">
        <v>412</v>
      </c>
      <c r="O618" s="227">
        <v>0.16803489999999999</v>
      </c>
      <c r="P618" s="227">
        <v>0.81567705000000001</v>
      </c>
      <c r="Q618" s="227">
        <v>0.86090224999999998</v>
      </c>
      <c r="R618" s="227">
        <v>0.84192586000000003</v>
      </c>
      <c r="S618" s="227">
        <v>1</v>
      </c>
      <c r="T618" s="227">
        <v>3478</v>
      </c>
      <c r="U618" s="227" t="s">
        <v>2670</v>
      </c>
    </row>
    <row r="619" spans="1:21" x14ac:dyDescent="0.25">
      <c r="A619" t="s">
        <v>2922</v>
      </c>
      <c r="B619">
        <v>15</v>
      </c>
      <c r="C619">
        <v>0.29008256999999998</v>
      </c>
      <c r="D619">
        <v>0.81518816999999999</v>
      </c>
      <c r="E619">
        <v>0.72332019999999997</v>
      </c>
      <c r="F619">
        <v>0.84140824999999997</v>
      </c>
      <c r="G619">
        <v>1</v>
      </c>
      <c r="H619">
        <v>7126</v>
      </c>
      <c r="I619" t="s">
        <v>2365</v>
      </c>
      <c r="M619" s="227" t="s">
        <v>2922</v>
      </c>
      <c r="N619" s="227">
        <v>15</v>
      </c>
      <c r="O619" s="227">
        <v>0.29008256999999998</v>
      </c>
      <c r="P619" s="227">
        <v>0.81518816999999999</v>
      </c>
      <c r="Q619" s="227">
        <v>0.72332019999999997</v>
      </c>
      <c r="R619" s="227">
        <v>0.84140824999999997</v>
      </c>
      <c r="S619" s="227">
        <v>1</v>
      </c>
      <c r="T619" s="227">
        <v>7126</v>
      </c>
      <c r="U619" s="227" t="s">
        <v>2365</v>
      </c>
    </row>
    <row r="620" spans="1:21" x14ac:dyDescent="0.25">
      <c r="A620" t="s">
        <v>2923</v>
      </c>
      <c r="B620">
        <v>45</v>
      </c>
      <c r="C620">
        <v>0.21123025000000001</v>
      </c>
      <c r="D620">
        <v>0.81458454999999996</v>
      </c>
      <c r="E620">
        <v>0.7734375</v>
      </c>
      <c r="F620">
        <v>0.84111550000000002</v>
      </c>
      <c r="G620">
        <v>1</v>
      </c>
      <c r="H620">
        <v>5642</v>
      </c>
      <c r="I620" t="s">
        <v>2924</v>
      </c>
      <c r="M620" s="227" t="s">
        <v>2923</v>
      </c>
      <c r="N620" s="227">
        <v>45</v>
      </c>
      <c r="O620" s="227">
        <v>0.21123025000000001</v>
      </c>
      <c r="P620" s="227">
        <v>0.81458454999999996</v>
      </c>
      <c r="Q620" s="227">
        <v>0.7734375</v>
      </c>
      <c r="R620" s="227">
        <v>0.84111550000000002</v>
      </c>
      <c r="S620" s="227">
        <v>1</v>
      </c>
      <c r="T620" s="227">
        <v>5642</v>
      </c>
      <c r="U620" s="227" t="s">
        <v>2924</v>
      </c>
    </row>
    <row r="621" spans="1:21" x14ac:dyDescent="0.25">
      <c r="A621" t="s">
        <v>2925</v>
      </c>
      <c r="B621">
        <v>23</v>
      </c>
      <c r="C621">
        <v>0.26360744000000003</v>
      </c>
      <c r="D621">
        <v>0.81373759999999995</v>
      </c>
      <c r="E621">
        <v>0.64979756</v>
      </c>
      <c r="F621">
        <v>0.8413619</v>
      </c>
      <c r="G621">
        <v>1</v>
      </c>
      <c r="H621">
        <v>1068</v>
      </c>
      <c r="I621" t="s">
        <v>2926</v>
      </c>
      <c r="M621" s="227" t="s">
        <v>2925</v>
      </c>
      <c r="N621" s="227">
        <v>23</v>
      </c>
      <c r="O621" s="227">
        <v>0.26360744000000003</v>
      </c>
      <c r="P621" s="227">
        <v>0.81373759999999995</v>
      </c>
      <c r="Q621" s="227">
        <v>0.64979756</v>
      </c>
      <c r="R621" s="227">
        <v>0.8413619</v>
      </c>
      <c r="S621" s="227">
        <v>1</v>
      </c>
      <c r="T621" s="227">
        <v>1068</v>
      </c>
      <c r="U621" s="227" t="s">
        <v>2926</v>
      </c>
    </row>
    <row r="622" spans="1:21" x14ac:dyDescent="0.25">
      <c r="A622" t="s">
        <v>2927</v>
      </c>
      <c r="B622">
        <v>413</v>
      </c>
      <c r="C622">
        <v>0.16757022999999999</v>
      </c>
      <c r="D622">
        <v>0.81308619999999998</v>
      </c>
      <c r="E622">
        <v>0.86303940000000001</v>
      </c>
      <c r="F622">
        <v>0.84117067000000001</v>
      </c>
      <c r="G622">
        <v>1</v>
      </c>
      <c r="H622">
        <v>3478</v>
      </c>
      <c r="I622" t="s">
        <v>2670</v>
      </c>
      <c r="M622" s="227" t="s">
        <v>2927</v>
      </c>
      <c r="N622" s="227">
        <v>413</v>
      </c>
      <c r="O622" s="227">
        <v>0.16757022999999999</v>
      </c>
      <c r="P622" s="227">
        <v>0.81308619999999998</v>
      </c>
      <c r="Q622" s="227">
        <v>0.86303940000000001</v>
      </c>
      <c r="R622" s="227">
        <v>0.84117067000000001</v>
      </c>
      <c r="S622" s="227">
        <v>1</v>
      </c>
      <c r="T622" s="227">
        <v>3478</v>
      </c>
      <c r="U622" s="227" t="s">
        <v>2670</v>
      </c>
    </row>
    <row r="623" spans="1:21" x14ac:dyDescent="0.25">
      <c r="A623" t="s">
        <v>2928</v>
      </c>
      <c r="B623">
        <v>18</v>
      </c>
      <c r="C623">
        <v>0.28015151999999999</v>
      </c>
      <c r="D623">
        <v>0.81228672999999996</v>
      </c>
      <c r="E623">
        <v>0.68518520000000005</v>
      </c>
      <c r="F623">
        <v>0.84121776000000004</v>
      </c>
      <c r="G623">
        <v>1</v>
      </c>
      <c r="H623">
        <v>3106</v>
      </c>
      <c r="I623" t="s">
        <v>2224</v>
      </c>
      <c r="M623" s="227" t="s">
        <v>2928</v>
      </c>
      <c r="N623" s="227">
        <v>18</v>
      </c>
      <c r="O623" s="227">
        <v>0.28015151999999999</v>
      </c>
      <c r="P623" s="227">
        <v>0.81228672999999996</v>
      </c>
      <c r="Q623" s="227">
        <v>0.68518520000000005</v>
      </c>
      <c r="R623" s="227">
        <v>0.84121776000000004</v>
      </c>
      <c r="S623" s="227">
        <v>1</v>
      </c>
      <c r="T623" s="227">
        <v>3106</v>
      </c>
      <c r="U623" s="227" t="s">
        <v>2224</v>
      </c>
    </row>
    <row r="624" spans="1:21" x14ac:dyDescent="0.25">
      <c r="A624" t="s">
        <v>2929</v>
      </c>
      <c r="B624">
        <v>463</v>
      </c>
      <c r="C624">
        <v>0.16899231000000001</v>
      </c>
      <c r="D624">
        <v>0.81192560000000003</v>
      </c>
      <c r="E624">
        <v>0.90467936000000004</v>
      </c>
      <c r="F624">
        <v>0.84048265</v>
      </c>
      <c r="G624">
        <v>1</v>
      </c>
      <c r="H624">
        <v>6715</v>
      </c>
      <c r="I624" t="s">
        <v>2930</v>
      </c>
      <c r="M624" s="227" t="s">
        <v>2929</v>
      </c>
      <c r="N624" s="227">
        <v>463</v>
      </c>
      <c r="O624" s="227">
        <v>0.16899231000000001</v>
      </c>
      <c r="P624" s="227">
        <v>0.81192560000000003</v>
      </c>
      <c r="Q624" s="227">
        <v>0.90467936000000004</v>
      </c>
      <c r="R624" s="227">
        <v>0.84048265</v>
      </c>
      <c r="S624" s="227">
        <v>1</v>
      </c>
      <c r="T624" s="227">
        <v>6715</v>
      </c>
      <c r="U624" s="227" t="s">
        <v>2930</v>
      </c>
    </row>
    <row r="625" spans="1:21" x14ac:dyDescent="0.25">
      <c r="A625" t="s">
        <v>2931</v>
      </c>
      <c r="B625">
        <v>192</v>
      </c>
      <c r="C625">
        <v>0.19145493</v>
      </c>
      <c r="D625">
        <v>0.81091060000000004</v>
      </c>
      <c r="E625">
        <v>0.78804350000000001</v>
      </c>
      <c r="F625">
        <v>0.84083384000000005</v>
      </c>
      <c r="G625">
        <v>1</v>
      </c>
      <c r="H625">
        <v>5473</v>
      </c>
      <c r="I625" t="s">
        <v>2932</v>
      </c>
      <c r="M625" s="227" t="s">
        <v>2931</v>
      </c>
      <c r="N625" s="227">
        <v>192</v>
      </c>
      <c r="O625" s="227">
        <v>0.19145493</v>
      </c>
      <c r="P625" s="227">
        <v>0.81091060000000004</v>
      </c>
      <c r="Q625" s="227">
        <v>0.78804350000000001</v>
      </c>
      <c r="R625" s="227">
        <v>0.84083384000000005</v>
      </c>
      <c r="S625" s="227">
        <v>1</v>
      </c>
      <c r="T625" s="227">
        <v>5473</v>
      </c>
      <c r="U625" s="227" t="s">
        <v>2932</v>
      </c>
    </row>
    <row r="626" spans="1:21" x14ac:dyDescent="0.25">
      <c r="A626" t="s">
        <v>2933</v>
      </c>
      <c r="B626">
        <v>148</v>
      </c>
      <c r="C626">
        <v>0.19830312</v>
      </c>
      <c r="D626">
        <v>0.81029165000000003</v>
      </c>
      <c r="E626">
        <v>0.75236296999999996</v>
      </c>
      <c r="F626">
        <v>0.84055550000000001</v>
      </c>
      <c r="G626">
        <v>1</v>
      </c>
      <c r="H626">
        <v>4694</v>
      </c>
      <c r="I626" t="s">
        <v>2867</v>
      </c>
      <c r="M626" s="227" t="s">
        <v>2933</v>
      </c>
      <c r="N626" s="227">
        <v>148</v>
      </c>
      <c r="O626" s="227">
        <v>0.19830312</v>
      </c>
      <c r="P626" s="227">
        <v>0.81029165000000003</v>
      </c>
      <c r="Q626" s="227">
        <v>0.75236296999999996</v>
      </c>
      <c r="R626" s="227">
        <v>0.84055550000000001</v>
      </c>
      <c r="S626" s="227">
        <v>1</v>
      </c>
      <c r="T626" s="227">
        <v>4694</v>
      </c>
      <c r="U626" s="227" t="s">
        <v>2867</v>
      </c>
    </row>
    <row r="627" spans="1:21" x14ac:dyDescent="0.25">
      <c r="A627" t="s">
        <v>2934</v>
      </c>
      <c r="B627">
        <v>129</v>
      </c>
      <c r="C627">
        <v>0.18259075</v>
      </c>
      <c r="D627">
        <v>0.80684440000000002</v>
      </c>
      <c r="E627">
        <v>0.86311789999999999</v>
      </c>
      <c r="F627">
        <v>0.84496599999999999</v>
      </c>
      <c r="G627">
        <v>1</v>
      </c>
      <c r="H627">
        <v>5360</v>
      </c>
      <c r="I627" t="s">
        <v>2935</v>
      </c>
      <c r="M627" s="227" t="s">
        <v>2934</v>
      </c>
      <c r="N627" s="227">
        <v>129</v>
      </c>
      <c r="O627" s="227">
        <v>0.18259075</v>
      </c>
      <c r="P627" s="227">
        <v>0.80684440000000002</v>
      </c>
      <c r="Q627" s="227">
        <v>0.86311789999999999</v>
      </c>
      <c r="R627" s="227">
        <v>0.84496599999999999</v>
      </c>
      <c r="S627" s="227">
        <v>1</v>
      </c>
      <c r="T627" s="227">
        <v>5360</v>
      </c>
      <c r="U627" s="227" t="s">
        <v>2935</v>
      </c>
    </row>
    <row r="628" spans="1:21" x14ac:dyDescent="0.25">
      <c r="A628" t="s">
        <v>2936</v>
      </c>
      <c r="B628">
        <v>107</v>
      </c>
      <c r="C628">
        <v>0.21606205000000001</v>
      </c>
      <c r="D628">
        <v>0.80672820000000001</v>
      </c>
      <c r="E628">
        <v>0.75502740000000002</v>
      </c>
      <c r="F628">
        <v>0.84379950000000004</v>
      </c>
      <c r="G628">
        <v>1</v>
      </c>
      <c r="H628">
        <v>3322</v>
      </c>
      <c r="I628" t="s">
        <v>2937</v>
      </c>
      <c r="M628" s="227" t="s">
        <v>2936</v>
      </c>
      <c r="N628" s="227">
        <v>107</v>
      </c>
      <c r="O628" s="227">
        <v>0.21606205000000001</v>
      </c>
      <c r="P628" s="227">
        <v>0.80672820000000001</v>
      </c>
      <c r="Q628" s="227">
        <v>0.75502740000000002</v>
      </c>
      <c r="R628" s="227">
        <v>0.84379950000000004</v>
      </c>
      <c r="S628" s="227">
        <v>1</v>
      </c>
      <c r="T628" s="227">
        <v>3322</v>
      </c>
      <c r="U628" s="227" t="s">
        <v>2937</v>
      </c>
    </row>
    <row r="629" spans="1:21" x14ac:dyDescent="0.25">
      <c r="A629" t="s">
        <v>2938</v>
      </c>
      <c r="B629">
        <v>23</v>
      </c>
      <c r="C629">
        <v>0.26131120000000002</v>
      </c>
      <c r="D629">
        <v>0.80649369999999998</v>
      </c>
      <c r="E629">
        <v>0.69275929999999997</v>
      </c>
      <c r="F629">
        <v>0.84278229999999998</v>
      </c>
      <c r="G629">
        <v>1</v>
      </c>
      <c r="H629">
        <v>3225</v>
      </c>
      <c r="I629" t="s">
        <v>2339</v>
      </c>
      <c r="M629" s="227" t="s">
        <v>2938</v>
      </c>
      <c r="N629" s="227">
        <v>23</v>
      </c>
      <c r="O629" s="227">
        <v>0.26131120000000002</v>
      </c>
      <c r="P629" s="227">
        <v>0.80649369999999998</v>
      </c>
      <c r="Q629" s="227">
        <v>0.69275929999999997</v>
      </c>
      <c r="R629" s="227">
        <v>0.84278229999999998</v>
      </c>
      <c r="S629" s="227">
        <v>1</v>
      </c>
      <c r="T629" s="227">
        <v>3225</v>
      </c>
      <c r="U629" s="227" t="s">
        <v>2339</v>
      </c>
    </row>
    <row r="630" spans="1:21" x14ac:dyDescent="0.25">
      <c r="A630" t="s">
        <v>2939</v>
      </c>
      <c r="B630">
        <v>25</v>
      </c>
      <c r="C630">
        <v>0.26533499999999999</v>
      </c>
      <c r="D630">
        <v>0.80609185000000005</v>
      </c>
      <c r="E630">
        <v>0.68965520000000002</v>
      </c>
      <c r="F630">
        <v>0.84214880000000003</v>
      </c>
      <c r="G630">
        <v>1</v>
      </c>
      <c r="H630">
        <v>3099</v>
      </c>
      <c r="I630" t="s">
        <v>2940</v>
      </c>
      <c r="M630" s="227" t="s">
        <v>2939</v>
      </c>
      <c r="N630" s="227">
        <v>25</v>
      </c>
      <c r="O630" s="227">
        <v>0.26533499999999999</v>
      </c>
      <c r="P630" s="227">
        <v>0.80609185000000005</v>
      </c>
      <c r="Q630" s="227">
        <v>0.68965520000000002</v>
      </c>
      <c r="R630" s="227">
        <v>0.84214880000000003</v>
      </c>
      <c r="S630" s="227">
        <v>1</v>
      </c>
      <c r="T630" s="227">
        <v>3099</v>
      </c>
      <c r="U630" s="227" t="s">
        <v>2940</v>
      </c>
    </row>
    <row r="631" spans="1:21" x14ac:dyDescent="0.25">
      <c r="A631" t="s">
        <v>2941</v>
      </c>
      <c r="B631">
        <v>42</v>
      </c>
      <c r="C631">
        <v>0.23684466000000001</v>
      </c>
      <c r="D631">
        <v>0.80562602999999999</v>
      </c>
      <c r="E631">
        <v>0.68559840000000005</v>
      </c>
      <c r="F631">
        <v>0.84160626000000005</v>
      </c>
      <c r="G631">
        <v>1</v>
      </c>
      <c r="H631">
        <v>8049</v>
      </c>
      <c r="I631" t="s">
        <v>2942</v>
      </c>
      <c r="M631" s="227" t="s">
        <v>2941</v>
      </c>
      <c r="N631" s="227">
        <v>42</v>
      </c>
      <c r="O631" s="227">
        <v>0.23684466000000001</v>
      </c>
      <c r="P631" s="227">
        <v>0.80562602999999999</v>
      </c>
      <c r="Q631" s="227">
        <v>0.68559840000000005</v>
      </c>
      <c r="R631" s="227">
        <v>0.84160626000000005</v>
      </c>
      <c r="S631" s="227">
        <v>1</v>
      </c>
      <c r="T631" s="227">
        <v>8049</v>
      </c>
      <c r="U631" s="227" t="s">
        <v>2942</v>
      </c>
    </row>
    <row r="632" spans="1:21" x14ac:dyDescent="0.25">
      <c r="A632" t="s">
        <v>2943</v>
      </c>
      <c r="B632">
        <v>337</v>
      </c>
      <c r="C632">
        <v>0.15896647999999999</v>
      </c>
      <c r="D632">
        <v>0.80547349999999995</v>
      </c>
      <c r="E632">
        <v>0.86990290000000003</v>
      </c>
      <c r="F632">
        <v>0.84051819999999999</v>
      </c>
      <c r="G632">
        <v>1</v>
      </c>
      <c r="H632">
        <v>5689</v>
      </c>
      <c r="I632" t="s">
        <v>2944</v>
      </c>
      <c r="M632" s="227" t="s">
        <v>2943</v>
      </c>
      <c r="N632" s="227">
        <v>337</v>
      </c>
      <c r="O632" s="227">
        <v>0.15896647999999999</v>
      </c>
      <c r="P632" s="227">
        <v>0.80547349999999995</v>
      </c>
      <c r="Q632" s="227">
        <v>0.86990290000000003</v>
      </c>
      <c r="R632" s="227">
        <v>0.84051819999999999</v>
      </c>
      <c r="S632" s="227">
        <v>1</v>
      </c>
      <c r="T632" s="227">
        <v>5689</v>
      </c>
      <c r="U632" s="227" t="s">
        <v>2944</v>
      </c>
    </row>
    <row r="633" spans="1:21" x14ac:dyDescent="0.25">
      <c r="A633" t="s">
        <v>2945</v>
      </c>
      <c r="B633">
        <v>77</v>
      </c>
      <c r="C633">
        <v>0.21069118000000001</v>
      </c>
      <c r="D633">
        <v>0.80381570000000002</v>
      </c>
      <c r="E633">
        <v>0.75903609999999999</v>
      </c>
      <c r="F633">
        <v>0.84197109999999997</v>
      </c>
      <c r="G633">
        <v>1</v>
      </c>
      <c r="H633">
        <v>2334</v>
      </c>
      <c r="I633" t="s">
        <v>2946</v>
      </c>
      <c r="M633" s="227" t="s">
        <v>2945</v>
      </c>
      <c r="N633" s="227">
        <v>77</v>
      </c>
      <c r="O633" s="227">
        <v>0.21069118000000001</v>
      </c>
      <c r="P633" s="227">
        <v>0.80381570000000002</v>
      </c>
      <c r="Q633" s="227">
        <v>0.75903609999999999</v>
      </c>
      <c r="R633" s="227">
        <v>0.84197109999999997</v>
      </c>
      <c r="S633" s="227">
        <v>1</v>
      </c>
      <c r="T633" s="227">
        <v>2334</v>
      </c>
      <c r="U633" s="227" t="s">
        <v>2946</v>
      </c>
    </row>
    <row r="634" spans="1:21" x14ac:dyDescent="0.25">
      <c r="A634" t="s">
        <v>2947</v>
      </c>
      <c r="B634">
        <v>20</v>
      </c>
      <c r="C634">
        <v>0.25522673000000001</v>
      </c>
      <c r="D634">
        <v>0.80336739999999995</v>
      </c>
      <c r="E634">
        <v>0.73025050000000002</v>
      </c>
      <c r="F634">
        <v>0.8415089</v>
      </c>
      <c r="G634">
        <v>1</v>
      </c>
      <c r="H634">
        <v>6948</v>
      </c>
      <c r="I634" t="s">
        <v>2948</v>
      </c>
      <c r="M634" s="227" t="s">
        <v>2947</v>
      </c>
      <c r="N634" s="227">
        <v>20</v>
      </c>
      <c r="O634" s="227">
        <v>0.25522673000000001</v>
      </c>
      <c r="P634" s="227">
        <v>0.80336739999999995</v>
      </c>
      <c r="Q634" s="227">
        <v>0.73025050000000002</v>
      </c>
      <c r="R634" s="227">
        <v>0.8415089</v>
      </c>
      <c r="S634" s="227">
        <v>1</v>
      </c>
      <c r="T634" s="227">
        <v>6948</v>
      </c>
      <c r="U634" s="227" t="s">
        <v>2948</v>
      </c>
    </row>
    <row r="635" spans="1:21" x14ac:dyDescent="0.25">
      <c r="A635" t="s">
        <v>2949</v>
      </c>
      <c r="B635">
        <v>20</v>
      </c>
      <c r="C635">
        <v>0.24943940000000001</v>
      </c>
      <c r="D635">
        <v>0.80201816999999997</v>
      </c>
      <c r="E635">
        <v>0.73148150000000001</v>
      </c>
      <c r="F635">
        <v>0.84250840000000005</v>
      </c>
      <c r="G635">
        <v>1</v>
      </c>
      <c r="H635">
        <v>1317</v>
      </c>
      <c r="I635" t="s">
        <v>2142</v>
      </c>
      <c r="M635" s="227" t="s">
        <v>2949</v>
      </c>
      <c r="N635" s="227">
        <v>20</v>
      </c>
      <c r="O635" s="227">
        <v>0.24943940000000001</v>
      </c>
      <c r="P635" s="227">
        <v>0.80201816999999997</v>
      </c>
      <c r="Q635" s="227">
        <v>0.73148150000000001</v>
      </c>
      <c r="R635" s="227">
        <v>0.84250840000000005</v>
      </c>
      <c r="S635" s="227">
        <v>1</v>
      </c>
      <c r="T635" s="227">
        <v>1317</v>
      </c>
      <c r="U635" s="227" t="s">
        <v>2142</v>
      </c>
    </row>
    <row r="636" spans="1:21" x14ac:dyDescent="0.25">
      <c r="A636" t="s">
        <v>2950</v>
      </c>
      <c r="B636">
        <v>62</v>
      </c>
      <c r="C636">
        <v>0.24045269</v>
      </c>
      <c r="D636">
        <v>0.798068</v>
      </c>
      <c r="E636">
        <v>0.74733095999999999</v>
      </c>
      <c r="F636">
        <v>0.84783052999999997</v>
      </c>
      <c r="G636">
        <v>1</v>
      </c>
      <c r="H636">
        <v>4694</v>
      </c>
      <c r="I636" t="s">
        <v>2364</v>
      </c>
      <c r="M636" s="227" t="s">
        <v>2950</v>
      </c>
      <c r="N636" s="227">
        <v>62</v>
      </c>
      <c r="O636" s="227">
        <v>0.24045269</v>
      </c>
      <c r="P636" s="227">
        <v>0.798068</v>
      </c>
      <c r="Q636" s="227">
        <v>0.74733095999999999</v>
      </c>
      <c r="R636" s="227">
        <v>0.84783052999999997</v>
      </c>
      <c r="S636" s="227">
        <v>1</v>
      </c>
      <c r="T636" s="227">
        <v>4694</v>
      </c>
      <c r="U636" s="227" t="s">
        <v>2364</v>
      </c>
    </row>
    <row r="637" spans="1:21" x14ac:dyDescent="0.25">
      <c r="A637" t="s">
        <v>2951</v>
      </c>
      <c r="B637">
        <v>35</v>
      </c>
      <c r="C637">
        <v>0.22016044000000001</v>
      </c>
      <c r="D637">
        <v>0.79789745999999995</v>
      </c>
      <c r="E637">
        <v>0.77996069999999995</v>
      </c>
      <c r="F637">
        <v>0.8468021</v>
      </c>
      <c r="G637">
        <v>1</v>
      </c>
      <c r="H637">
        <v>3616</v>
      </c>
      <c r="I637" t="s">
        <v>2952</v>
      </c>
      <c r="M637" s="227" t="s">
        <v>2951</v>
      </c>
      <c r="N637" s="227">
        <v>35</v>
      </c>
      <c r="O637" s="227">
        <v>0.22016044000000001</v>
      </c>
      <c r="P637" s="227">
        <v>0.79789745999999995</v>
      </c>
      <c r="Q637" s="227">
        <v>0.77996069999999995</v>
      </c>
      <c r="R637" s="227">
        <v>0.8468021</v>
      </c>
      <c r="S637" s="227">
        <v>1</v>
      </c>
      <c r="T637" s="227">
        <v>3616</v>
      </c>
      <c r="U637" s="227" t="s">
        <v>2952</v>
      </c>
    </row>
    <row r="638" spans="1:21" x14ac:dyDescent="0.25">
      <c r="A638" t="s">
        <v>2953</v>
      </c>
      <c r="B638">
        <v>85</v>
      </c>
      <c r="C638">
        <v>0.20740299000000001</v>
      </c>
      <c r="D638">
        <v>0.79735833</v>
      </c>
      <c r="E638">
        <v>0.78857140000000003</v>
      </c>
      <c r="F638">
        <v>0.84635806000000002</v>
      </c>
      <c r="G638">
        <v>1</v>
      </c>
      <c r="H638">
        <v>4723</v>
      </c>
      <c r="I638" t="s">
        <v>2481</v>
      </c>
      <c r="M638" s="227" t="s">
        <v>2953</v>
      </c>
      <c r="N638" s="227">
        <v>85</v>
      </c>
      <c r="O638" s="227">
        <v>0.20740299000000001</v>
      </c>
      <c r="P638" s="227">
        <v>0.79735833</v>
      </c>
      <c r="Q638" s="227">
        <v>0.78857140000000003</v>
      </c>
      <c r="R638" s="227">
        <v>0.84635806000000002</v>
      </c>
      <c r="S638" s="227">
        <v>1</v>
      </c>
      <c r="T638" s="227">
        <v>4723</v>
      </c>
      <c r="U638" s="227" t="s">
        <v>2481</v>
      </c>
    </row>
    <row r="639" spans="1:21" x14ac:dyDescent="0.25">
      <c r="A639" t="s">
        <v>2954</v>
      </c>
      <c r="B639">
        <v>52</v>
      </c>
      <c r="C639">
        <v>0.18710879999999999</v>
      </c>
      <c r="D639">
        <v>0.79371893000000004</v>
      </c>
      <c r="E639">
        <v>0.82186234000000002</v>
      </c>
      <c r="F639">
        <v>0.85107089999999996</v>
      </c>
      <c r="G639">
        <v>1</v>
      </c>
      <c r="H639">
        <v>556</v>
      </c>
      <c r="I639" t="s">
        <v>2955</v>
      </c>
      <c r="M639" s="227" t="s">
        <v>2954</v>
      </c>
      <c r="N639" s="227">
        <v>52</v>
      </c>
      <c r="O639" s="227">
        <v>0.18710879999999999</v>
      </c>
      <c r="P639" s="227">
        <v>0.79371893000000004</v>
      </c>
      <c r="Q639" s="227">
        <v>0.82186234000000002</v>
      </c>
      <c r="R639" s="227">
        <v>0.85107089999999996</v>
      </c>
      <c r="S639" s="227">
        <v>1</v>
      </c>
      <c r="T639" s="227">
        <v>556</v>
      </c>
      <c r="U639" s="227" t="s">
        <v>2955</v>
      </c>
    </row>
    <row r="640" spans="1:21" x14ac:dyDescent="0.25">
      <c r="A640" t="s">
        <v>2956</v>
      </c>
      <c r="B640">
        <v>33</v>
      </c>
      <c r="C640">
        <v>0.21175242999999999</v>
      </c>
      <c r="D640">
        <v>0.79369990000000001</v>
      </c>
      <c r="E640">
        <v>0.78367346999999998</v>
      </c>
      <c r="F640">
        <v>0.84977899999999995</v>
      </c>
      <c r="G640">
        <v>1</v>
      </c>
      <c r="H640">
        <v>1068</v>
      </c>
      <c r="I640" t="s">
        <v>2957</v>
      </c>
      <c r="M640" s="227" t="s">
        <v>2956</v>
      </c>
      <c r="N640" s="227">
        <v>33</v>
      </c>
      <c r="O640" s="227">
        <v>0.21175242999999999</v>
      </c>
      <c r="P640" s="227">
        <v>0.79369990000000001</v>
      </c>
      <c r="Q640" s="227">
        <v>0.78367346999999998</v>
      </c>
      <c r="R640" s="227">
        <v>0.84977899999999995</v>
      </c>
      <c r="S640" s="227">
        <v>1</v>
      </c>
      <c r="T640" s="227">
        <v>1068</v>
      </c>
      <c r="U640" s="227" t="s">
        <v>2957</v>
      </c>
    </row>
    <row r="641" spans="1:21" x14ac:dyDescent="0.25">
      <c r="A641" t="s">
        <v>2958</v>
      </c>
      <c r="B641">
        <v>40</v>
      </c>
      <c r="C641">
        <v>0.21684231000000001</v>
      </c>
      <c r="D641">
        <v>0.79172980000000004</v>
      </c>
      <c r="E641">
        <v>0.81709739999999997</v>
      </c>
      <c r="F641">
        <v>0.85168546000000001</v>
      </c>
      <c r="G641">
        <v>1</v>
      </c>
      <c r="H641">
        <v>1069</v>
      </c>
      <c r="I641" t="s">
        <v>2959</v>
      </c>
      <c r="M641" s="227" t="s">
        <v>2958</v>
      </c>
      <c r="N641" s="227">
        <v>40</v>
      </c>
      <c r="O641" s="227">
        <v>0.21684231000000001</v>
      </c>
      <c r="P641" s="227">
        <v>0.79172980000000004</v>
      </c>
      <c r="Q641" s="227">
        <v>0.81709739999999997</v>
      </c>
      <c r="R641" s="227">
        <v>0.85168546000000001</v>
      </c>
      <c r="S641" s="227">
        <v>1</v>
      </c>
      <c r="T641" s="227">
        <v>1069</v>
      </c>
      <c r="U641" s="227" t="s">
        <v>2959</v>
      </c>
    </row>
    <row r="642" spans="1:21" x14ac:dyDescent="0.25">
      <c r="A642" t="s">
        <v>2960</v>
      </c>
      <c r="B642">
        <v>46</v>
      </c>
      <c r="C642">
        <v>0.22153587999999999</v>
      </c>
      <c r="D642">
        <v>0.79157299999999997</v>
      </c>
      <c r="E642">
        <v>0.74946919999999995</v>
      </c>
      <c r="F642">
        <v>0.85057830000000001</v>
      </c>
      <c r="G642">
        <v>1</v>
      </c>
      <c r="H642">
        <v>2642</v>
      </c>
      <c r="I642" t="s">
        <v>2961</v>
      </c>
      <c r="M642" s="227" t="s">
        <v>2960</v>
      </c>
      <c r="N642" s="227">
        <v>46</v>
      </c>
      <c r="O642" s="227">
        <v>0.22153587999999999</v>
      </c>
      <c r="P642" s="227">
        <v>0.79157299999999997</v>
      </c>
      <c r="Q642" s="227">
        <v>0.74946919999999995</v>
      </c>
      <c r="R642" s="227">
        <v>0.85057830000000001</v>
      </c>
      <c r="S642" s="227">
        <v>1</v>
      </c>
      <c r="T642" s="227">
        <v>2642</v>
      </c>
      <c r="U642" s="227" t="s">
        <v>2961</v>
      </c>
    </row>
    <row r="643" spans="1:21" x14ac:dyDescent="0.25">
      <c r="A643" t="s">
        <v>2962</v>
      </c>
      <c r="B643">
        <v>36</v>
      </c>
      <c r="C643">
        <v>0.24683815000000001</v>
      </c>
      <c r="D643">
        <v>0.78452354999999996</v>
      </c>
      <c r="E643">
        <v>0.7707948</v>
      </c>
      <c r="F643">
        <v>0.86092864999999996</v>
      </c>
      <c r="G643">
        <v>1</v>
      </c>
      <c r="H643">
        <v>6618</v>
      </c>
      <c r="I643" t="s">
        <v>2963</v>
      </c>
      <c r="M643" s="227" t="s">
        <v>2962</v>
      </c>
      <c r="N643" s="227">
        <v>36</v>
      </c>
      <c r="O643" s="227">
        <v>0.24683815000000001</v>
      </c>
      <c r="P643" s="227">
        <v>0.78452354999999996</v>
      </c>
      <c r="Q643" s="227">
        <v>0.7707948</v>
      </c>
      <c r="R643" s="227">
        <v>0.86092864999999996</v>
      </c>
      <c r="S643" s="227">
        <v>1</v>
      </c>
      <c r="T643" s="227">
        <v>6618</v>
      </c>
      <c r="U643" s="227" t="s">
        <v>2963</v>
      </c>
    </row>
    <row r="644" spans="1:21" x14ac:dyDescent="0.25">
      <c r="A644" t="s">
        <v>2964</v>
      </c>
      <c r="B644">
        <v>29</v>
      </c>
      <c r="C644">
        <v>0.25266230000000001</v>
      </c>
      <c r="D644">
        <v>0.78379759999999998</v>
      </c>
      <c r="E644">
        <v>0.78130840000000001</v>
      </c>
      <c r="F644">
        <v>0.86082314999999998</v>
      </c>
      <c r="G644">
        <v>1</v>
      </c>
      <c r="H644">
        <v>5576</v>
      </c>
      <c r="I644" t="s">
        <v>2965</v>
      </c>
      <c r="M644" s="227" t="s">
        <v>2964</v>
      </c>
      <c r="N644" s="227">
        <v>29</v>
      </c>
      <c r="O644" s="227">
        <v>0.25266230000000001</v>
      </c>
      <c r="P644" s="227">
        <v>0.78379759999999998</v>
      </c>
      <c r="Q644" s="227">
        <v>0.78130840000000001</v>
      </c>
      <c r="R644" s="227">
        <v>0.86082314999999998</v>
      </c>
      <c r="S644" s="227">
        <v>1</v>
      </c>
      <c r="T644" s="227">
        <v>5576</v>
      </c>
      <c r="U644" s="227" t="s">
        <v>2965</v>
      </c>
    </row>
    <row r="645" spans="1:21" x14ac:dyDescent="0.25">
      <c r="A645" t="s">
        <v>2966</v>
      </c>
      <c r="B645">
        <v>150</v>
      </c>
      <c r="C645">
        <v>0.21171673999999999</v>
      </c>
      <c r="D645">
        <v>0.78342307</v>
      </c>
      <c r="E645">
        <v>0.67583495000000005</v>
      </c>
      <c r="F645">
        <v>0.8601432</v>
      </c>
      <c r="G645">
        <v>1</v>
      </c>
      <c r="H645">
        <v>5297</v>
      </c>
      <c r="I645" t="s">
        <v>2967</v>
      </c>
      <c r="M645" s="227" t="s">
        <v>2966</v>
      </c>
      <c r="N645" s="227">
        <v>150</v>
      </c>
      <c r="O645" s="227">
        <v>0.21171673999999999</v>
      </c>
      <c r="P645" s="227">
        <v>0.78342307</v>
      </c>
      <c r="Q645" s="227">
        <v>0.67583495000000005</v>
      </c>
      <c r="R645" s="227">
        <v>0.8601432</v>
      </c>
      <c r="S645" s="227">
        <v>1</v>
      </c>
      <c r="T645" s="227">
        <v>5297</v>
      </c>
      <c r="U645" s="227" t="s">
        <v>2967</v>
      </c>
    </row>
    <row r="646" spans="1:21" x14ac:dyDescent="0.25">
      <c r="A646" t="s">
        <v>2968</v>
      </c>
      <c r="B646">
        <v>64</v>
      </c>
      <c r="C646">
        <v>0.23388568000000001</v>
      </c>
      <c r="D646">
        <v>0.78146327000000004</v>
      </c>
      <c r="E646">
        <v>0.76376549999999999</v>
      </c>
      <c r="F646">
        <v>0.86199369999999997</v>
      </c>
      <c r="G646">
        <v>1</v>
      </c>
      <c r="H646">
        <v>4694</v>
      </c>
      <c r="I646" t="s">
        <v>2969</v>
      </c>
      <c r="M646" s="227" t="s">
        <v>2968</v>
      </c>
      <c r="N646" s="227">
        <v>64</v>
      </c>
      <c r="O646" s="227">
        <v>0.23388568000000001</v>
      </c>
      <c r="P646" s="227">
        <v>0.78146327000000004</v>
      </c>
      <c r="Q646" s="227">
        <v>0.76376549999999999</v>
      </c>
      <c r="R646" s="227">
        <v>0.86199369999999997</v>
      </c>
      <c r="S646" s="227">
        <v>1</v>
      </c>
      <c r="T646" s="227">
        <v>4694</v>
      </c>
      <c r="U646" s="227" t="s">
        <v>2969</v>
      </c>
    </row>
    <row r="647" spans="1:21" x14ac:dyDescent="0.25">
      <c r="A647" t="s">
        <v>2970</v>
      </c>
      <c r="B647">
        <v>298</v>
      </c>
      <c r="C647">
        <v>0.16906094999999999</v>
      </c>
      <c r="D647">
        <v>0.78024519999999997</v>
      </c>
      <c r="E647">
        <v>0.9375</v>
      </c>
      <c r="F647">
        <v>0.86255380000000004</v>
      </c>
      <c r="G647">
        <v>1</v>
      </c>
      <c r="H647">
        <v>7531</v>
      </c>
      <c r="I647" t="s">
        <v>2971</v>
      </c>
      <c r="M647" s="227" t="s">
        <v>2970</v>
      </c>
      <c r="N647" s="227">
        <v>298</v>
      </c>
      <c r="O647" s="227">
        <v>0.16906094999999999</v>
      </c>
      <c r="P647" s="227">
        <v>0.78024519999999997</v>
      </c>
      <c r="Q647" s="227">
        <v>0.9375</v>
      </c>
      <c r="R647" s="227">
        <v>0.86255380000000004</v>
      </c>
      <c r="S647" s="227">
        <v>1</v>
      </c>
      <c r="T647" s="227">
        <v>7531</v>
      </c>
      <c r="U647" s="227" t="s">
        <v>2971</v>
      </c>
    </row>
    <row r="648" spans="1:21" x14ac:dyDescent="0.25">
      <c r="A648" t="s">
        <v>2972</v>
      </c>
      <c r="B648">
        <v>71</v>
      </c>
      <c r="C648">
        <v>0.18730949999999999</v>
      </c>
      <c r="D648">
        <v>0.7796923</v>
      </c>
      <c r="E648">
        <v>0.8552381</v>
      </c>
      <c r="F648">
        <v>0.86207736000000001</v>
      </c>
      <c r="G648">
        <v>1</v>
      </c>
      <c r="H648">
        <v>5366</v>
      </c>
      <c r="I648" t="s">
        <v>2363</v>
      </c>
      <c r="M648" s="227" t="s">
        <v>2972</v>
      </c>
      <c r="N648" s="227">
        <v>71</v>
      </c>
      <c r="O648" s="227">
        <v>0.18730949999999999</v>
      </c>
      <c r="P648" s="227">
        <v>0.7796923</v>
      </c>
      <c r="Q648" s="227">
        <v>0.8552381</v>
      </c>
      <c r="R648" s="227">
        <v>0.86207736000000001</v>
      </c>
      <c r="S648" s="227">
        <v>1</v>
      </c>
      <c r="T648" s="227">
        <v>5366</v>
      </c>
      <c r="U648" s="227" t="s">
        <v>2363</v>
      </c>
    </row>
    <row r="649" spans="1:21" x14ac:dyDescent="0.25">
      <c r="A649" t="s">
        <v>2973</v>
      </c>
      <c r="B649">
        <v>16</v>
      </c>
      <c r="C649">
        <v>0.29804259999999999</v>
      </c>
      <c r="D649">
        <v>0.77690970000000004</v>
      </c>
      <c r="E649">
        <v>0.74053029999999997</v>
      </c>
      <c r="F649">
        <v>0.8651008</v>
      </c>
      <c r="G649">
        <v>1</v>
      </c>
      <c r="H649">
        <v>5931</v>
      </c>
      <c r="I649" t="s">
        <v>2974</v>
      </c>
      <c r="M649" s="227" t="s">
        <v>2973</v>
      </c>
      <c r="N649" s="227">
        <v>16</v>
      </c>
      <c r="O649" s="227">
        <v>0.29804259999999999</v>
      </c>
      <c r="P649" s="227">
        <v>0.77690970000000004</v>
      </c>
      <c r="Q649" s="227">
        <v>0.74053029999999997</v>
      </c>
      <c r="R649" s="227">
        <v>0.8651008</v>
      </c>
      <c r="S649" s="227">
        <v>1</v>
      </c>
      <c r="T649" s="227">
        <v>5931</v>
      </c>
      <c r="U649" s="227" t="s">
        <v>2974</v>
      </c>
    </row>
    <row r="650" spans="1:21" x14ac:dyDescent="0.25">
      <c r="A650" t="s">
        <v>2975</v>
      </c>
      <c r="B650">
        <v>188</v>
      </c>
      <c r="C650">
        <v>0.16394523999999999</v>
      </c>
      <c r="D650">
        <v>0.77619850000000001</v>
      </c>
      <c r="E650">
        <v>0.91170823999999995</v>
      </c>
      <c r="F650">
        <v>0.8648439</v>
      </c>
      <c r="G650">
        <v>1</v>
      </c>
      <c r="H650">
        <v>4824</v>
      </c>
      <c r="I650" t="s">
        <v>2370</v>
      </c>
      <c r="M650" s="227" t="s">
        <v>2975</v>
      </c>
      <c r="N650" s="227">
        <v>188</v>
      </c>
      <c r="O650" s="227">
        <v>0.16394523999999999</v>
      </c>
      <c r="P650" s="227">
        <v>0.77619850000000001</v>
      </c>
      <c r="Q650" s="227">
        <v>0.91170823999999995</v>
      </c>
      <c r="R650" s="227">
        <v>0.8648439</v>
      </c>
      <c r="S650" s="227">
        <v>1</v>
      </c>
      <c r="T650" s="227">
        <v>4824</v>
      </c>
      <c r="U650" s="227" t="s">
        <v>2370</v>
      </c>
    </row>
    <row r="651" spans="1:21" x14ac:dyDescent="0.25">
      <c r="A651" t="s">
        <v>2976</v>
      </c>
      <c r="B651">
        <v>15</v>
      </c>
      <c r="C651">
        <v>0.25984101999999998</v>
      </c>
      <c r="D651">
        <v>0.77459294000000001</v>
      </c>
      <c r="E651">
        <v>0.8111332</v>
      </c>
      <c r="F651">
        <v>0.86586993999999995</v>
      </c>
      <c r="G651">
        <v>1</v>
      </c>
      <c r="H651">
        <v>6694</v>
      </c>
      <c r="I651" t="s">
        <v>2977</v>
      </c>
      <c r="M651" s="227" t="s">
        <v>2976</v>
      </c>
      <c r="N651" s="227">
        <v>15</v>
      </c>
      <c r="O651" s="227">
        <v>0.25984101999999998</v>
      </c>
      <c r="P651" s="227">
        <v>0.77459294000000001</v>
      </c>
      <c r="Q651" s="227">
        <v>0.8111332</v>
      </c>
      <c r="R651" s="227">
        <v>0.86586993999999995</v>
      </c>
      <c r="S651" s="227">
        <v>1</v>
      </c>
      <c r="T651" s="227">
        <v>6694</v>
      </c>
      <c r="U651" s="227" t="s">
        <v>2977</v>
      </c>
    </row>
    <row r="652" spans="1:21" x14ac:dyDescent="0.25">
      <c r="A652" t="s">
        <v>2978</v>
      </c>
      <c r="B652">
        <v>25</v>
      </c>
      <c r="C652">
        <v>0.25378775999999997</v>
      </c>
      <c r="D652">
        <v>0.77223580000000003</v>
      </c>
      <c r="E652">
        <v>0.79143390000000002</v>
      </c>
      <c r="F652">
        <v>0.8683014</v>
      </c>
      <c r="G652">
        <v>1</v>
      </c>
      <c r="H652">
        <v>3862</v>
      </c>
      <c r="I652" t="s">
        <v>2979</v>
      </c>
      <c r="M652" s="227" t="s">
        <v>2978</v>
      </c>
      <c r="N652" s="227">
        <v>25</v>
      </c>
      <c r="O652" s="227">
        <v>0.25378775999999997</v>
      </c>
      <c r="P652" s="227">
        <v>0.77223580000000003</v>
      </c>
      <c r="Q652" s="227">
        <v>0.79143390000000002</v>
      </c>
      <c r="R652" s="227">
        <v>0.8683014</v>
      </c>
      <c r="S652" s="227">
        <v>1</v>
      </c>
      <c r="T652" s="227">
        <v>3862</v>
      </c>
      <c r="U652" s="227" t="s">
        <v>2979</v>
      </c>
    </row>
    <row r="653" spans="1:21" x14ac:dyDescent="0.25">
      <c r="A653" t="s">
        <v>2980</v>
      </c>
      <c r="B653">
        <v>27</v>
      </c>
      <c r="C653">
        <v>0.24962719</v>
      </c>
      <c r="D653">
        <v>0.77220639999999996</v>
      </c>
      <c r="E653">
        <v>0.7763158</v>
      </c>
      <c r="F653">
        <v>0.86700730000000004</v>
      </c>
      <c r="G653">
        <v>1</v>
      </c>
      <c r="H653">
        <v>5438</v>
      </c>
      <c r="I653" t="s">
        <v>2361</v>
      </c>
      <c r="M653" s="227" t="s">
        <v>2980</v>
      </c>
      <c r="N653" s="227">
        <v>27</v>
      </c>
      <c r="O653" s="227">
        <v>0.24962719</v>
      </c>
      <c r="P653" s="227">
        <v>0.77220639999999996</v>
      </c>
      <c r="Q653" s="227">
        <v>0.7763158</v>
      </c>
      <c r="R653" s="227">
        <v>0.86700730000000004</v>
      </c>
      <c r="S653" s="227">
        <v>1</v>
      </c>
      <c r="T653" s="227">
        <v>5438</v>
      </c>
      <c r="U653" s="227" t="s">
        <v>2361</v>
      </c>
    </row>
    <row r="654" spans="1:21" x14ac:dyDescent="0.25">
      <c r="A654" t="s">
        <v>2981</v>
      </c>
      <c r="B654">
        <v>17</v>
      </c>
      <c r="C654">
        <v>0.27844337000000002</v>
      </c>
      <c r="D654">
        <v>0.76721430000000002</v>
      </c>
      <c r="E654">
        <v>0.76739924999999998</v>
      </c>
      <c r="F654">
        <v>0.87338689999999997</v>
      </c>
      <c r="G654">
        <v>1</v>
      </c>
      <c r="H654">
        <v>6378</v>
      </c>
      <c r="I654" t="s">
        <v>2982</v>
      </c>
      <c r="M654" s="227" t="s">
        <v>2981</v>
      </c>
      <c r="N654" s="227">
        <v>17</v>
      </c>
      <c r="O654" s="227">
        <v>0.27844337000000002</v>
      </c>
      <c r="P654" s="227">
        <v>0.76721430000000002</v>
      </c>
      <c r="Q654" s="227">
        <v>0.76739924999999998</v>
      </c>
      <c r="R654" s="227">
        <v>0.87338689999999997</v>
      </c>
      <c r="S654" s="227">
        <v>1</v>
      </c>
      <c r="T654" s="227">
        <v>6378</v>
      </c>
      <c r="U654" s="227" t="s">
        <v>2982</v>
      </c>
    </row>
    <row r="655" spans="1:21" x14ac:dyDescent="0.25">
      <c r="A655" t="s">
        <v>2983</v>
      </c>
      <c r="B655">
        <v>28</v>
      </c>
      <c r="C655">
        <v>0.22716676999999999</v>
      </c>
      <c r="D655">
        <v>0.76594609999999996</v>
      </c>
      <c r="E655">
        <v>0.82738096000000005</v>
      </c>
      <c r="F655">
        <v>0.87403834000000002</v>
      </c>
      <c r="G655">
        <v>1</v>
      </c>
      <c r="H655">
        <v>3447</v>
      </c>
      <c r="I655" t="s">
        <v>2235</v>
      </c>
      <c r="M655" s="227" t="s">
        <v>2983</v>
      </c>
      <c r="N655" s="227">
        <v>28</v>
      </c>
      <c r="O655" s="227">
        <v>0.22716676999999999</v>
      </c>
      <c r="P655" s="227">
        <v>0.76594609999999996</v>
      </c>
      <c r="Q655" s="227">
        <v>0.82738096000000005</v>
      </c>
      <c r="R655" s="227">
        <v>0.87403834000000002</v>
      </c>
      <c r="S655" s="227">
        <v>1</v>
      </c>
      <c r="T655" s="227">
        <v>3447</v>
      </c>
      <c r="U655" s="227" t="s">
        <v>2235</v>
      </c>
    </row>
    <row r="656" spans="1:21" x14ac:dyDescent="0.25">
      <c r="A656" t="s">
        <v>2984</v>
      </c>
      <c r="B656">
        <v>143</v>
      </c>
      <c r="C656">
        <v>0.19485681999999999</v>
      </c>
      <c r="D656">
        <v>0.76405984000000005</v>
      </c>
      <c r="E656">
        <v>0.85299455999999996</v>
      </c>
      <c r="F656">
        <v>0.87546860000000004</v>
      </c>
      <c r="G656">
        <v>1</v>
      </c>
      <c r="H656">
        <v>5473</v>
      </c>
      <c r="I656" t="s">
        <v>2985</v>
      </c>
      <c r="M656" s="227" t="s">
        <v>2984</v>
      </c>
      <c r="N656" s="227">
        <v>143</v>
      </c>
      <c r="O656" s="227">
        <v>0.19485681999999999</v>
      </c>
      <c r="P656" s="227">
        <v>0.76405984000000005</v>
      </c>
      <c r="Q656" s="227">
        <v>0.85299455999999996</v>
      </c>
      <c r="R656" s="227">
        <v>0.87546860000000004</v>
      </c>
      <c r="S656" s="227">
        <v>1</v>
      </c>
      <c r="T656" s="227">
        <v>5473</v>
      </c>
      <c r="U656" s="227" t="s">
        <v>2985</v>
      </c>
    </row>
    <row r="657" spans="1:21" x14ac:dyDescent="0.25">
      <c r="A657" t="s">
        <v>2986</v>
      </c>
      <c r="B657">
        <v>328</v>
      </c>
      <c r="C657">
        <v>0.15729741999999999</v>
      </c>
      <c r="D657">
        <v>0.76262635000000001</v>
      </c>
      <c r="E657">
        <v>0.94129160000000001</v>
      </c>
      <c r="F657">
        <v>0.87621340000000003</v>
      </c>
      <c r="G657">
        <v>1</v>
      </c>
      <c r="H657">
        <v>3478</v>
      </c>
      <c r="I657" t="s">
        <v>2670</v>
      </c>
      <c r="M657" s="227" t="s">
        <v>2986</v>
      </c>
      <c r="N657" s="227">
        <v>328</v>
      </c>
      <c r="O657" s="227">
        <v>0.15729741999999999</v>
      </c>
      <c r="P657" s="227">
        <v>0.76262635000000001</v>
      </c>
      <c r="Q657" s="227">
        <v>0.94129160000000001</v>
      </c>
      <c r="R657" s="227">
        <v>0.87621340000000003</v>
      </c>
      <c r="S657" s="227">
        <v>1</v>
      </c>
      <c r="T657" s="227">
        <v>3478</v>
      </c>
      <c r="U657" s="227" t="s">
        <v>2670</v>
      </c>
    </row>
    <row r="658" spans="1:21" x14ac:dyDescent="0.25">
      <c r="A658" t="s">
        <v>2987</v>
      </c>
      <c r="B658">
        <v>21</v>
      </c>
      <c r="C658">
        <v>0.24513937999999999</v>
      </c>
      <c r="D658">
        <v>0.76185285999999997</v>
      </c>
      <c r="E658">
        <v>0.76892430000000001</v>
      </c>
      <c r="F658">
        <v>0.87611245999999998</v>
      </c>
      <c r="G658">
        <v>1</v>
      </c>
      <c r="H658">
        <v>5473</v>
      </c>
      <c r="I658" t="s">
        <v>2988</v>
      </c>
      <c r="M658" s="227" t="s">
        <v>2987</v>
      </c>
      <c r="N658" s="227">
        <v>21</v>
      </c>
      <c r="O658" s="227">
        <v>0.24513937999999999</v>
      </c>
      <c r="P658" s="227">
        <v>0.76185285999999997</v>
      </c>
      <c r="Q658" s="227">
        <v>0.76892430000000001</v>
      </c>
      <c r="R658" s="227">
        <v>0.87611245999999998</v>
      </c>
      <c r="S658" s="227">
        <v>1</v>
      </c>
      <c r="T658" s="227">
        <v>5473</v>
      </c>
      <c r="U658" s="227" t="s">
        <v>2988</v>
      </c>
    </row>
    <row r="659" spans="1:21" x14ac:dyDescent="0.25">
      <c r="A659" t="s">
        <v>2989</v>
      </c>
      <c r="B659">
        <v>292</v>
      </c>
      <c r="C659">
        <v>0.17688608</v>
      </c>
      <c r="D659">
        <v>0.76079039999999998</v>
      </c>
      <c r="E659">
        <v>0.88090736000000003</v>
      </c>
      <c r="F659">
        <v>0.87639120000000004</v>
      </c>
      <c r="G659">
        <v>1</v>
      </c>
      <c r="H659">
        <v>5310</v>
      </c>
      <c r="I659" t="s">
        <v>2990</v>
      </c>
      <c r="M659" s="227" t="s">
        <v>2989</v>
      </c>
      <c r="N659" s="227">
        <v>292</v>
      </c>
      <c r="O659" s="227">
        <v>0.17688608</v>
      </c>
      <c r="P659" s="227">
        <v>0.76079039999999998</v>
      </c>
      <c r="Q659" s="227">
        <v>0.88090736000000003</v>
      </c>
      <c r="R659" s="227">
        <v>0.87639120000000004</v>
      </c>
      <c r="S659" s="227">
        <v>1</v>
      </c>
      <c r="T659" s="227">
        <v>5310</v>
      </c>
      <c r="U659" s="227" t="s">
        <v>2990</v>
      </c>
    </row>
    <row r="660" spans="1:21" x14ac:dyDescent="0.25">
      <c r="A660" t="s">
        <v>2991</v>
      </c>
      <c r="B660">
        <v>329</v>
      </c>
      <c r="C660">
        <v>0.15674312000000001</v>
      </c>
      <c r="D660">
        <v>0.75929829999999998</v>
      </c>
      <c r="E660">
        <v>0.93945310000000004</v>
      </c>
      <c r="F660">
        <v>0.87728256000000004</v>
      </c>
      <c r="G660">
        <v>1</v>
      </c>
      <c r="H660">
        <v>3478</v>
      </c>
      <c r="I660" t="s">
        <v>2992</v>
      </c>
      <c r="M660" s="227" t="s">
        <v>2991</v>
      </c>
      <c r="N660" s="227">
        <v>329</v>
      </c>
      <c r="O660" s="227">
        <v>0.15674312000000001</v>
      </c>
      <c r="P660" s="227">
        <v>0.75929829999999998</v>
      </c>
      <c r="Q660" s="227">
        <v>0.93945310000000004</v>
      </c>
      <c r="R660" s="227">
        <v>0.87728256000000004</v>
      </c>
      <c r="S660" s="227">
        <v>1</v>
      </c>
      <c r="T660" s="227">
        <v>3478</v>
      </c>
      <c r="U660" s="227" t="s">
        <v>2992</v>
      </c>
    </row>
    <row r="661" spans="1:21" x14ac:dyDescent="0.25">
      <c r="A661" t="s">
        <v>2993</v>
      </c>
      <c r="B661">
        <v>33</v>
      </c>
      <c r="C661">
        <v>0.21234019000000001</v>
      </c>
      <c r="D661">
        <v>0.75924000000000003</v>
      </c>
      <c r="E661">
        <v>0.84181815000000004</v>
      </c>
      <c r="F661">
        <v>0.87603027</v>
      </c>
      <c r="G661">
        <v>1</v>
      </c>
      <c r="H661">
        <v>7311</v>
      </c>
      <c r="I661" t="s">
        <v>2852</v>
      </c>
      <c r="M661" s="227" t="s">
        <v>2993</v>
      </c>
      <c r="N661" s="227">
        <v>33</v>
      </c>
      <c r="O661" s="227">
        <v>0.21234019000000001</v>
      </c>
      <c r="P661" s="227">
        <v>0.75924000000000003</v>
      </c>
      <c r="Q661" s="227">
        <v>0.84181815000000004</v>
      </c>
      <c r="R661" s="227">
        <v>0.87603027</v>
      </c>
      <c r="S661" s="227">
        <v>1</v>
      </c>
      <c r="T661" s="227">
        <v>7311</v>
      </c>
      <c r="U661" s="227" t="s">
        <v>2852</v>
      </c>
    </row>
    <row r="662" spans="1:21" x14ac:dyDescent="0.25">
      <c r="A662" t="s">
        <v>2994</v>
      </c>
      <c r="B662">
        <v>40</v>
      </c>
      <c r="C662">
        <v>0.22606571</v>
      </c>
      <c r="D662">
        <v>0.75615745999999995</v>
      </c>
      <c r="E662">
        <v>0.84230053000000005</v>
      </c>
      <c r="F662">
        <v>0.87924760000000002</v>
      </c>
      <c r="G662">
        <v>1</v>
      </c>
      <c r="H662">
        <v>7986</v>
      </c>
      <c r="I662" t="s">
        <v>2995</v>
      </c>
      <c r="M662" s="227" t="s">
        <v>2994</v>
      </c>
      <c r="N662" s="227">
        <v>40</v>
      </c>
      <c r="O662" s="227">
        <v>0.22606571</v>
      </c>
      <c r="P662" s="227">
        <v>0.75615745999999995</v>
      </c>
      <c r="Q662" s="227">
        <v>0.84230053000000005</v>
      </c>
      <c r="R662" s="227">
        <v>0.87924760000000002</v>
      </c>
      <c r="S662" s="227">
        <v>1</v>
      </c>
      <c r="T662" s="227">
        <v>7986</v>
      </c>
      <c r="U662" s="227" t="s">
        <v>2995</v>
      </c>
    </row>
    <row r="663" spans="1:21" x14ac:dyDescent="0.25">
      <c r="A663" t="s">
        <v>2996</v>
      </c>
      <c r="B663">
        <v>318</v>
      </c>
      <c r="C663">
        <v>0.15663162999999999</v>
      </c>
      <c r="D663">
        <v>0.75510310000000003</v>
      </c>
      <c r="E663">
        <v>0.94208497000000002</v>
      </c>
      <c r="F663">
        <v>0.87953040000000005</v>
      </c>
      <c r="G663">
        <v>1</v>
      </c>
      <c r="H663">
        <v>6008</v>
      </c>
      <c r="I663" t="s">
        <v>2997</v>
      </c>
      <c r="M663" s="227" t="s">
        <v>2996</v>
      </c>
      <c r="N663" s="227">
        <v>318</v>
      </c>
      <c r="O663" s="227">
        <v>0.15663162999999999</v>
      </c>
      <c r="P663" s="227">
        <v>0.75510310000000003</v>
      </c>
      <c r="Q663" s="227">
        <v>0.94208497000000002</v>
      </c>
      <c r="R663" s="227">
        <v>0.87953040000000005</v>
      </c>
      <c r="S663" s="227">
        <v>1</v>
      </c>
      <c r="T663" s="227">
        <v>6008</v>
      </c>
      <c r="U663" s="227" t="s">
        <v>2997</v>
      </c>
    </row>
    <row r="664" spans="1:21" x14ac:dyDescent="0.25">
      <c r="A664" t="s">
        <v>2998</v>
      </c>
      <c r="B664">
        <v>18</v>
      </c>
      <c r="C664">
        <v>0.27035576</v>
      </c>
      <c r="D664">
        <v>0.75018792999999995</v>
      </c>
      <c r="E664">
        <v>0.72916669999999995</v>
      </c>
      <c r="F664">
        <v>0.88531879999999996</v>
      </c>
      <c r="G664">
        <v>1</v>
      </c>
      <c r="H664">
        <v>4555</v>
      </c>
      <c r="I664" t="s">
        <v>2354</v>
      </c>
      <c r="M664" s="227" t="s">
        <v>2998</v>
      </c>
      <c r="N664" s="227">
        <v>18</v>
      </c>
      <c r="O664" s="227">
        <v>0.27035576</v>
      </c>
      <c r="P664" s="227">
        <v>0.75018792999999995</v>
      </c>
      <c r="Q664" s="227">
        <v>0.72916669999999995</v>
      </c>
      <c r="R664" s="227">
        <v>0.88531879999999996</v>
      </c>
      <c r="S664" s="227">
        <v>1</v>
      </c>
      <c r="T664" s="227">
        <v>4555</v>
      </c>
      <c r="U664" s="227" t="s">
        <v>2354</v>
      </c>
    </row>
    <row r="665" spans="1:21" x14ac:dyDescent="0.25">
      <c r="A665" t="s">
        <v>2999</v>
      </c>
      <c r="B665">
        <v>39</v>
      </c>
      <c r="C665">
        <v>0.1934486</v>
      </c>
      <c r="D665">
        <v>0.74772110000000003</v>
      </c>
      <c r="E665">
        <v>0.86948174</v>
      </c>
      <c r="F665">
        <v>0.88755450000000002</v>
      </c>
      <c r="G665">
        <v>1</v>
      </c>
      <c r="H665">
        <v>3616</v>
      </c>
      <c r="I665" t="s">
        <v>2768</v>
      </c>
      <c r="M665" s="227" t="s">
        <v>2999</v>
      </c>
      <c r="N665" s="227">
        <v>39</v>
      </c>
      <c r="O665" s="227">
        <v>0.1934486</v>
      </c>
      <c r="P665" s="227">
        <v>0.74772110000000003</v>
      </c>
      <c r="Q665" s="227">
        <v>0.86948174</v>
      </c>
      <c r="R665" s="227">
        <v>0.88755450000000002</v>
      </c>
      <c r="S665" s="227">
        <v>1</v>
      </c>
      <c r="T665" s="227">
        <v>3616</v>
      </c>
      <c r="U665" s="227" t="s">
        <v>2768</v>
      </c>
    </row>
    <row r="666" spans="1:21" x14ac:dyDescent="0.25">
      <c r="A666" t="s">
        <v>3000</v>
      </c>
      <c r="B666">
        <v>21</v>
      </c>
      <c r="C666">
        <v>0.26736460000000001</v>
      </c>
      <c r="D666">
        <v>0.74255539999999998</v>
      </c>
      <c r="E666">
        <v>0.79215690000000005</v>
      </c>
      <c r="F666">
        <v>0.89367779999999997</v>
      </c>
      <c r="G666">
        <v>1</v>
      </c>
      <c r="H666">
        <v>6973</v>
      </c>
      <c r="I666" t="s">
        <v>3001</v>
      </c>
      <c r="M666" s="227" t="s">
        <v>3000</v>
      </c>
      <c r="N666" s="227">
        <v>21</v>
      </c>
      <c r="O666" s="227">
        <v>0.26736460000000001</v>
      </c>
      <c r="P666" s="227">
        <v>0.74255539999999998</v>
      </c>
      <c r="Q666" s="227">
        <v>0.79215690000000005</v>
      </c>
      <c r="R666" s="227">
        <v>0.89367779999999997</v>
      </c>
      <c r="S666" s="227">
        <v>1</v>
      </c>
      <c r="T666" s="227">
        <v>6973</v>
      </c>
      <c r="U666" s="227" t="s">
        <v>3001</v>
      </c>
    </row>
    <row r="667" spans="1:21" x14ac:dyDescent="0.25">
      <c r="A667" t="s">
        <v>3002</v>
      </c>
      <c r="B667">
        <v>21</v>
      </c>
      <c r="C667">
        <v>0.26736460000000001</v>
      </c>
      <c r="D667">
        <v>0.74255539999999998</v>
      </c>
      <c r="E667">
        <v>0.79215690000000005</v>
      </c>
      <c r="F667">
        <v>0.89233589999999996</v>
      </c>
      <c r="G667">
        <v>1</v>
      </c>
      <c r="H667">
        <v>6973</v>
      </c>
      <c r="I667" t="s">
        <v>3001</v>
      </c>
      <c r="M667" s="227" t="s">
        <v>3002</v>
      </c>
      <c r="N667" s="227">
        <v>21</v>
      </c>
      <c r="O667" s="227">
        <v>0.26736460000000001</v>
      </c>
      <c r="P667" s="227">
        <v>0.74255539999999998</v>
      </c>
      <c r="Q667" s="227">
        <v>0.79215690000000005</v>
      </c>
      <c r="R667" s="227">
        <v>0.89233589999999996</v>
      </c>
      <c r="S667" s="227">
        <v>1</v>
      </c>
      <c r="T667" s="227">
        <v>6973</v>
      </c>
      <c r="U667" s="227" t="s">
        <v>3001</v>
      </c>
    </row>
    <row r="668" spans="1:21" x14ac:dyDescent="0.25">
      <c r="A668" t="s">
        <v>3003</v>
      </c>
      <c r="B668">
        <v>34</v>
      </c>
      <c r="C668">
        <v>0.22740573</v>
      </c>
      <c r="D668">
        <v>0.74095040000000001</v>
      </c>
      <c r="E668">
        <v>0.75146769999999996</v>
      </c>
      <c r="F668">
        <v>0.89316773000000005</v>
      </c>
      <c r="G668">
        <v>1</v>
      </c>
      <c r="H668">
        <v>4849</v>
      </c>
      <c r="I668" t="s">
        <v>3004</v>
      </c>
      <c r="M668" s="227" t="s">
        <v>3003</v>
      </c>
      <c r="N668" s="227">
        <v>34</v>
      </c>
      <c r="O668" s="227">
        <v>0.22740573</v>
      </c>
      <c r="P668" s="227">
        <v>0.74095040000000001</v>
      </c>
      <c r="Q668" s="227">
        <v>0.75146769999999996</v>
      </c>
      <c r="R668" s="227">
        <v>0.89316773000000005</v>
      </c>
      <c r="S668" s="227">
        <v>1</v>
      </c>
      <c r="T668" s="227">
        <v>4849</v>
      </c>
      <c r="U668" s="227" t="s">
        <v>3004</v>
      </c>
    </row>
    <row r="669" spans="1:21" x14ac:dyDescent="0.25">
      <c r="A669" t="s">
        <v>3005</v>
      </c>
      <c r="B669">
        <v>22</v>
      </c>
      <c r="C669">
        <v>0.25738656999999998</v>
      </c>
      <c r="D669">
        <v>0.73734089999999997</v>
      </c>
      <c r="E669">
        <v>0.83272060000000003</v>
      </c>
      <c r="F669">
        <v>0.89701116000000003</v>
      </c>
      <c r="G669">
        <v>1</v>
      </c>
      <c r="H669">
        <v>6760</v>
      </c>
      <c r="I669" t="s">
        <v>3006</v>
      </c>
      <c r="M669" s="227" t="s">
        <v>3005</v>
      </c>
      <c r="N669" s="227">
        <v>22</v>
      </c>
      <c r="O669" s="227">
        <v>0.25738656999999998</v>
      </c>
      <c r="P669" s="227">
        <v>0.73734089999999997</v>
      </c>
      <c r="Q669" s="227">
        <v>0.83272060000000003</v>
      </c>
      <c r="R669" s="227">
        <v>0.89701116000000003</v>
      </c>
      <c r="S669" s="227">
        <v>1</v>
      </c>
      <c r="T669" s="227">
        <v>6760</v>
      </c>
      <c r="U669" s="227" t="s">
        <v>3006</v>
      </c>
    </row>
    <row r="670" spans="1:21" x14ac:dyDescent="0.25">
      <c r="A670" t="s">
        <v>3007</v>
      </c>
      <c r="B670">
        <v>39</v>
      </c>
      <c r="C670">
        <v>0.21227852999999999</v>
      </c>
      <c r="D670">
        <v>0.73568639999999996</v>
      </c>
      <c r="E670">
        <v>0.85741440000000002</v>
      </c>
      <c r="F670">
        <v>0.89790210000000004</v>
      </c>
      <c r="G670">
        <v>1</v>
      </c>
      <c r="H670">
        <v>4723</v>
      </c>
      <c r="I670" t="s">
        <v>3008</v>
      </c>
      <c r="M670" s="227" t="s">
        <v>3007</v>
      </c>
      <c r="N670" s="227">
        <v>39</v>
      </c>
      <c r="O670" s="227">
        <v>0.21227852999999999</v>
      </c>
      <c r="P670" s="227">
        <v>0.73568639999999996</v>
      </c>
      <c r="Q670" s="227">
        <v>0.85741440000000002</v>
      </c>
      <c r="R670" s="227">
        <v>0.89790210000000004</v>
      </c>
      <c r="S670" s="227">
        <v>1</v>
      </c>
      <c r="T670" s="227">
        <v>4723</v>
      </c>
      <c r="U670" s="227" t="s">
        <v>3008</v>
      </c>
    </row>
    <row r="671" spans="1:21" x14ac:dyDescent="0.25">
      <c r="A671" t="s">
        <v>3009</v>
      </c>
      <c r="B671">
        <v>245</v>
      </c>
      <c r="C671">
        <v>0.16291982999999999</v>
      </c>
      <c r="D671">
        <v>0.73375049999999997</v>
      </c>
      <c r="E671">
        <v>0.97619045000000004</v>
      </c>
      <c r="F671">
        <v>0.89912999999999998</v>
      </c>
      <c r="G671">
        <v>1</v>
      </c>
      <c r="H671">
        <v>6751</v>
      </c>
      <c r="I671" t="s">
        <v>2675</v>
      </c>
      <c r="M671" s="227" t="s">
        <v>3009</v>
      </c>
      <c r="N671" s="227">
        <v>245</v>
      </c>
      <c r="O671" s="227">
        <v>0.16291982999999999</v>
      </c>
      <c r="P671" s="227">
        <v>0.73375049999999997</v>
      </c>
      <c r="Q671" s="227">
        <v>0.97619045000000004</v>
      </c>
      <c r="R671" s="227">
        <v>0.89912999999999998</v>
      </c>
      <c r="S671" s="227">
        <v>1</v>
      </c>
      <c r="T671" s="227">
        <v>6751</v>
      </c>
      <c r="U671" s="227" t="s">
        <v>2675</v>
      </c>
    </row>
    <row r="672" spans="1:21" x14ac:dyDescent="0.25">
      <c r="A672" t="s">
        <v>3010</v>
      </c>
      <c r="B672">
        <v>30</v>
      </c>
      <c r="C672">
        <v>0.24087486999999999</v>
      </c>
      <c r="D672">
        <v>0.73303837000000005</v>
      </c>
      <c r="E672">
        <v>0.78988325999999998</v>
      </c>
      <c r="F672">
        <v>0.89875620000000001</v>
      </c>
      <c r="G672">
        <v>1</v>
      </c>
      <c r="H672">
        <v>7393</v>
      </c>
      <c r="I672" t="s">
        <v>3011</v>
      </c>
      <c r="M672" s="227" t="s">
        <v>3010</v>
      </c>
      <c r="N672" s="227">
        <v>30</v>
      </c>
      <c r="O672" s="227">
        <v>0.24087486999999999</v>
      </c>
      <c r="P672" s="227">
        <v>0.73303837000000005</v>
      </c>
      <c r="Q672" s="227">
        <v>0.78988325999999998</v>
      </c>
      <c r="R672" s="227">
        <v>0.89875620000000001</v>
      </c>
      <c r="S672" s="227">
        <v>1</v>
      </c>
      <c r="T672" s="227">
        <v>7393</v>
      </c>
      <c r="U672" s="227" t="s">
        <v>3011</v>
      </c>
    </row>
    <row r="673" spans="1:21" x14ac:dyDescent="0.25">
      <c r="A673" t="s">
        <v>3012</v>
      </c>
      <c r="B673">
        <v>46</v>
      </c>
      <c r="C673">
        <v>0.19129170000000001</v>
      </c>
      <c r="D673">
        <v>0.72994270000000006</v>
      </c>
      <c r="E673">
        <v>0.90419159999999998</v>
      </c>
      <c r="F673">
        <v>0.90154409999999996</v>
      </c>
      <c r="G673">
        <v>1</v>
      </c>
      <c r="H673">
        <v>1660</v>
      </c>
      <c r="I673" t="s">
        <v>2795</v>
      </c>
      <c r="M673" s="227" t="s">
        <v>3012</v>
      </c>
      <c r="N673" s="227">
        <v>46</v>
      </c>
      <c r="O673" s="227">
        <v>0.19129170000000001</v>
      </c>
      <c r="P673" s="227">
        <v>0.72994270000000006</v>
      </c>
      <c r="Q673" s="227">
        <v>0.90419159999999998</v>
      </c>
      <c r="R673" s="227">
        <v>0.90154409999999996</v>
      </c>
      <c r="S673" s="227">
        <v>1</v>
      </c>
      <c r="T673" s="227">
        <v>1660</v>
      </c>
      <c r="U673" s="227" t="s">
        <v>2795</v>
      </c>
    </row>
    <row r="674" spans="1:21" x14ac:dyDescent="0.25">
      <c r="A674" t="s">
        <v>3013</v>
      </c>
      <c r="B674">
        <v>33</v>
      </c>
      <c r="C674">
        <v>0.26708700000000002</v>
      </c>
      <c r="D674">
        <v>0.72805050000000004</v>
      </c>
      <c r="E674">
        <v>0.77490777</v>
      </c>
      <c r="F674">
        <v>0.90275985000000003</v>
      </c>
      <c r="G674">
        <v>1</v>
      </c>
      <c r="H674">
        <v>4485</v>
      </c>
      <c r="I674" t="s">
        <v>3014</v>
      </c>
      <c r="M674" s="227" t="s">
        <v>3013</v>
      </c>
      <c r="N674" s="227">
        <v>33</v>
      </c>
      <c r="O674" s="227">
        <v>0.26708700000000002</v>
      </c>
      <c r="P674" s="227">
        <v>0.72805050000000004</v>
      </c>
      <c r="Q674" s="227">
        <v>0.77490777</v>
      </c>
      <c r="R674" s="227">
        <v>0.90275985000000003</v>
      </c>
      <c r="S674" s="227">
        <v>1</v>
      </c>
      <c r="T674" s="227">
        <v>4485</v>
      </c>
      <c r="U674" s="227" t="s">
        <v>3014</v>
      </c>
    </row>
    <row r="675" spans="1:21" x14ac:dyDescent="0.25">
      <c r="A675" t="s">
        <v>3015</v>
      </c>
      <c r="B675">
        <v>17</v>
      </c>
      <c r="C675">
        <v>0.24876909</v>
      </c>
      <c r="D675">
        <v>0.72582685999999996</v>
      </c>
      <c r="E675">
        <v>0.84795319999999996</v>
      </c>
      <c r="F675">
        <v>0.90420979999999995</v>
      </c>
      <c r="G675">
        <v>1</v>
      </c>
      <c r="H675">
        <v>4796</v>
      </c>
      <c r="I675" t="s">
        <v>2711</v>
      </c>
      <c r="M675" s="227" t="s">
        <v>3015</v>
      </c>
      <c r="N675" s="227">
        <v>17</v>
      </c>
      <c r="O675" s="227">
        <v>0.24876909</v>
      </c>
      <c r="P675" s="227">
        <v>0.72582685999999996</v>
      </c>
      <c r="Q675" s="227">
        <v>0.84795319999999996</v>
      </c>
      <c r="R675" s="227">
        <v>0.90420979999999995</v>
      </c>
      <c r="S675" s="227">
        <v>1</v>
      </c>
      <c r="T675" s="227">
        <v>4796</v>
      </c>
      <c r="U675" s="227" t="s">
        <v>2711</v>
      </c>
    </row>
    <row r="676" spans="1:21" x14ac:dyDescent="0.25">
      <c r="A676" t="s">
        <v>3016</v>
      </c>
      <c r="B676">
        <v>37</v>
      </c>
      <c r="C676">
        <v>0.18634173000000001</v>
      </c>
      <c r="D676">
        <v>0.72366416</v>
      </c>
      <c r="E676">
        <v>0.91992549999999995</v>
      </c>
      <c r="F676">
        <v>0.90581520000000004</v>
      </c>
      <c r="G676">
        <v>1</v>
      </c>
      <c r="H676">
        <v>4500</v>
      </c>
      <c r="I676" t="s">
        <v>3017</v>
      </c>
      <c r="M676" s="227" t="s">
        <v>3016</v>
      </c>
      <c r="N676" s="227">
        <v>37</v>
      </c>
      <c r="O676" s="227">
        <v>0.18634173000000001</v>
      </c>
      <c r="P676" s="227">
        <v>0.72366416</v>
      </c>
      <c r="Q676" s="227">
        <v>0.91992549999999995</v>
      </c>
      <c r="R676" s="227">
        <v>0.90581520000000004</v>
      </c>
      <c r="S676" s="227">
        <v>1</v>
      </c>
      <c r="T676" s="227">
        <v>4500</v>
      </c>
      <c r="U676" s="227" t="s">
        <v>3017</v>
      </c>
    </row>
    <row r="677" spans="1:21" x14ac:dyDescent="0.25">
      <c r="A677" t="s">
        <v>3018</v>
      </c>
      <c r="B677">
        <v>20</v>
      </c>
      <c r="C677">
        <v>0.22684719</v>
      </c>
      <c r="D677">
        <v>0.72059779999999996</v>
      </c>
      <c r="E677">
        <v>0.85934489999999997</v>
      </c>
      <c r="F677">
        <v>0.90837460000000003</v>
      </c>
      <c r="G677">
        <v>1</v>
      </c>
      <c r="H677">
        <v>4973</v>
      </c>
      <c r="I677" t="s">
        <v>3019</v>
      </c>
      <c r="M677" s="227" t="s">
        <v>3018</v>
      </c>
      <c r="N677" s="227">
        <v>20</v>
      </c>
      <c r="O677" s="227">
        <v>0.22684719</v>
      </c>
      <c r="P677" s="227">
        <v>0.72059779999999996</v>
      </c>
      <c r="Q677" s="227">
        <v>0.85934489999999997</v>
      </c>
      <c r="R677" s="227">
        <v>0.90837460000000003</v>
      </c>
      <c r="S677" s="227">
        <v>1</v>
      </c>
      <c r="T677" s="227">
        <v>4973</v>
      </c>
      <c r="U677" s="227" t="s">
        <v>3019</v>
      </c>
    </row>
    <row r="678" spans="1:21" x14ac:dyDescent="0.25">
      <c r="A678" t="s">
        <v>3020</v>
      </c>
      <c r="B678">
        <v>25</v>
      </c>
      <c r="C678">
        <v>0.20573274999999999</v>
      </c>
      <c r="D678">
        <v>0.7196785</v>
      </c>
      <c r="E678">
        <v>0.876</v>
      </c>
      <c r="F678">
        <v>0.90819704999999995</v>
      </c>
      <c r="G678">
        <v>1</v>
      </c>
      <c r="H678">
        <v>3099</v>
      </c>
      <c r="I678" t="s">
        <v>3021</v>
      </c>
      <c r="M678" s="227" t="s">
        <v>3020</v>
      </c>
      <c r="N678" s="227">
        <v>25</v>
      </c>
      <c r="O678" s="227">
        <v>0.20573274999999999</v>
      </c>
      <c r="P678" s="227">
        <v>0.7196785</v>
      </c>
      <c r="Q678" s="227">
        <v>0.876</v>
      </c>
      <c r="R678" s="227">
        <v>0.90819704999999995</v>
      </c>
      <c r="S678" s="227">
        <v>1</v>
      </c>
      <c r="T678" s="227">
        <v>3099</v>
      </c>
      <c r="U678" s="227" t="s">
        <v>3021</v>
      </c>
    </row>
    <row r="679" spans="1:21" x14ac:dyDescent="0.25">
      <c r="A679" t="s">
        <v>3022</v>
      </c>
      <c r="B679">
        <v>190</v>
      </c>
      <c r="C679">
        <v>0.16629650000000001</v>
      </c>
      <c r="D679">
        <v>0.71827704000000003</v>
      </c>
      <c r="E679">
        <v>0.95708954000000002</v>
      </c>
      <c r="F679">
        <v>0.90857613000000004</v>
      </c>
      <c r="G679">
        <v>1</v>
      </c>
      <c r="H679">
        <v>6751</v>
      </c>
      <c r="I679" t="s">
        <v>3023</v>
      </c>
      <c r="M679" s="227" t="s">
        <v>3022</v>
      </c>
      <c r="N679" s="227">
        <v>190</v>
      </c>
      <c r="O679" s="227">
        <v>0.16629650000000001</v>
      </c>
      <c r="P679" s="227">
        <v>0.71827704000000003</v>
      </c>
      <c r="Q679" s="227">
        <v>0.95708954000000002</v>
      </c>
      <c r="R679" s="227">
        <v>0.90857613000000004</v>
      </c>
      <c r="S679" s="227">
        <v>1</v>
      </c>
      <c r="T679" s="227">
        <v>6751</v>
      </c>
      <c r="U679" s="227" t="s">
        <v>3023</v>
      </c>
    </row>
    <row r="680" spans="1:21" x14ac:dyDescent="0.25">
      <c r="A680" t="s">
        <v>3024</v>
      </c>
      <c r="B680">
        <v>25</v>
      </c>
      <c r="C680">
        <v>0.21965492</v>
      </c>
      <c r="D680">
        <v>0.70589100000000005</v>
      </c>
      <c r="E680">
        <v>0.84282904999999997</v>
      </c>
      <c r="F680">
        <v>0.92245080000000002</v>
      </c>
      <c r="G680">
        <v>1</v>
      </c>
      <c r="H680">
        <v>5930</v>
      </c>
      <c r="I680" t="s">
        <v>3025</v>
      </c>
      <c r="M680" s="227" t="s">
        <v>3024</v>
      </c>
      <c r="N680" s="227">
        <v>25</v>
      </c>
      <c r="O680" s="227">
        <v>0.21965492</v>
      </c>
      <c r="P680" s="227">
        <v>0.70589100000000005</v>
      </c>
      <c r="Q680" s="227">
        <v>0.84282904999999997</v>
      </c>
      <c r="R680" s="227">
        <v>0.92245080000000002</v>
      </c>
      <c r="S680" s="227">
        <v>1</v>
      </c>
      <c r="T680" s="227">
        <v>5930</v>
      </c>
      <c r="U680" s="227" t="s">
        <v>3025</v>
      </c>
    </row>
    <row r="681" spans="1:21" x14ac:dyDescent="0.25">
      <c r="A681" t="s">
        <v>3026</v>
      </c>
      <c r="B681">
        <v>16</v>
      </c>
      <c r="C681">
        <v>0.27606576999999999</v>
      </c>
      <c r="D681">
        <v>0.70575105999999999</v>
      </c>
      <c r="E681">
        <v>0.75</v>
      </c>
      <c r="F681">
        <v>0.92127079999999995</v>
      </c>
      <c r="G681">
        <v>1</v>
      </c>
      <c r="H681">
        <v>3128</v>
      </c>
      <c r="I681" t="s">
        <v>2145</v>
      </c>
      <c r="M681" s="227" t="s">
        <v>3026</v>
      </c>
      <c r="N681" s="227">
        <v>16</v>
      </c>
      <c r="O681" s="227">
        <v>0.27606576999999999</v>
      </c>
      <c r="P681" s="227">
        <v>0.70575105999999999</v>
      </c>
      <c r="Q681" s="227">
        <v>0.75</v>
      </c>
      <c r="R681" s="227">
        <v>0.92127079999999995</v>
      </c>
      <c r="S681" s="227">
        <v>1</v>
      </c>
      <c r="T681" s="227">
        <v>3128</v>
      </c>
      <c r="U681" s="227" t="s">
        <v>2145</v>
      </c>
    </row>
    <row r="682" spans="1:21" x14ac:dyDescent="0.25">
      <c r="A682" t="s">
        <v>3027</v>
      </c>
      <c r="B682">
        <v>15</v>
      </c>
      <c r="C682">
        <v>0.240422</v>
      </c>
      <c r="D682">
        <v>0.70443564999999997</v>
      </c>
      <c r="E682">
        <v>0.86939573000000003</v>
      </c>
      <c r="F682">
        <v>0.9215103</v>
      </c>
      <c r="G682">
        <v>1</v>
      </c>
      <c r="H682">
        <v>7111</v>
      </c>
      <c r="I682" t="s">
        <v>3028</v>
      </c>
      <c r="M682" s="227" t="s">
        <v>3027</v>
      </c>
      <c r="N682" s="227">
        <v>15</v>
      </c>
      <c r="O682" s="227">
        <v>0.240422</v>
      </c>
      <c r="P682" s="227">
        <v>0.70443564999999997</v>
      </c>
      <c r="Q682" s="227">
        <v>0.86939573000000003</v>
      </c>
      <c r="R682" s="227">
        <v>0.9215103</v>
      </c>
      <c r="S682" s="227">
        <v>1</v>
      </c>
      <c r="T682" s="227">
        <v>7111</v>
      </c>
      <c r="U682" s="227" t="s">
        <v>3028</v>
      </c>
    </row>
    <row r="683" spans="1:21" x14ac:dyDescent="0.25">
      <c r="A683" t="s">
        <v>3029</v>
      </c>
      <c r="B683">
        <v>65</v>
      </c>
      <c r="C683">
        <v>0.19050963000000001</v>
      </c>
      <c r="D683">
        <v>0.69611940000000005</v>
      </c>
      <c r="E683">
        <v>0.88648649999999996</v>
      </c>
      <c r="F683">
        <v>0.92994653999999999</v>
      </c>
      <c r="G683">
        <v>1</v>
      </c>
      <c r="H683">
        <v>6854</v>
      </c>
      <c r="I683" t="s">
        <v>3030</v>
      </c>
      <c r="M683" s="227" t="s">
        <v>3029</v>
      </c>
      <c r="N683" s="227">
        <v>65</v>
      </c>
      <c r="O683" s="227">
        <v>0.19050963000000001</v>
      </c>
      <c r="P683" s="227">
        <v>0.69611940000000005</v>
      </c>
      <c r="Q683" s="227">
        <v>0.88648649999999996</v>
      </c>
      <c r="R683" s="227">
        <v>0.92994653999999999</v>
      </c>
      <c r="S683" s="227">
        <v>1</v>
      </c>
      <c r="T683" s="227">
        <v>6854</v>
      </c>
      <c r="U683" s="227" t="s">
        <v>3030</v>
      </c>
    </row>
    <row r="684" spans="1:21" x14ac:dyDescent="0.25">
      <c r="A684" t="s">
        <v>3031</v>
      </c>
      <c r="B684">
        <v>105</v>
      </c>
      <c r="C684">
        <v>0.20281671000000001</v>
      </c>
      <c r="D684">
        <v>0.69403124000000005</v>
      </c>
      <c r="E684">
        <v>0.73735410000000001</v>
      </c>
      <c r="F684">
        <v>0.93077266000000003</v>
      </c>
      <c r="G684">
        <v>1</v>
      </c>
      <c r="H684">
        <v>4860</v>
      </c>
      <c r="I684" t="s">
        <v>3032</v>
      </c>
      <c r="M684" s="227" t="s">
        <v>3031</v>
      </c>
      <c r="N684" s="227">
        <v>105</v>
      </c>
      <c r="O684" s="227">
        <v>0.20281671000000001</v>
      </c>
      <c r="P684" s="227">
        <v>0.69403124000000005</v>
      </c>
      <c r="Q684" s="227">
        <v>0.73735410000000001</v>
      </c>
      <c r="R684" s="227">
        <v>0.93077266000000003</v>
      </c>
      <c r="S684" s="227">
        <v>1</v>
      </c>
      <c r="T684" s="227">
        <v>4860</v>
      </c>
      <c r="U684" s="227" t="s">
        <v>3032</v>
      </c>
    </row>
    <row r="685" spans="1:21" x14ac:dyDescent="0.25">
      <c r="A685" t="s">
        <v>3033</v>
      </c>
      <c r="B685">
        <v>16</v>
      </c>
      <c r="C685">
        <v>0.24908519000000001</v>
      </c>
      <c r="D685">
        <v>0.68800293999999995</v>
      </c>
      <c r="E685">
        <v>0.86998089999999995</v>
      </c>
      <c r="F685">
        <v>0.93621739999999998</v>
      </c>
      <c r="G685">
        <v>1</v>
      </c>
      <c r="H685">
        <v>4660</v>
      </c>
      <c r="I685" t="s">
        <v>3034</v>
      </c>
      <c r="M685" s="227" t="s">
        <v>3033</v>
      </c>
      <c r="N685" s="227">
        <v>16</v>
      </c>
      <c r="O685" s="227">
        <v>0.24908519000000001</v>
      </c>
      <c r="P685" s="227">
        <v>0.68800293999999995</v>
      </c>
      <c r="Q685" s="227">
        <v>0.86998089999999995</v>
      </c>
      <c r="R685" s="227">
        <v>0.93621739999999998</v>
      </c>
      <c r="S685" s="227">
        <v>1</v>
      </c>
      <c r="T685" s="227">
        <v>4660</v>
      </c>
      <c r="U685" s="227" t="s">
        <v>3034</v>
      </c>
    </row>
    <row r="686" spans="1:21" x14ac:dyDescent="0.25">
      <c r="A686" t="s">
        <v>3035</v>
      </c>
      <c r="B686">
        <v>24</v>
      </c>
      <c r="C686">
        <v>0.22110558999999999</v>
      </c>
      <c r="D686">
        <v>0.68595545999999996</v>
      </c>
      <c r="E686">
        <v>0.87476282999999999</v>
      </c>
      <c r="F686">
        <v>0.93712240000000002</v>
      </c>
      <c r="G686">
        <v>1</v>
      </c>
      <c r="H686">
        <v>7015</v>
      </c>
      <c r="I686" t="s">
        <v>3036</v>
      </c>
      <c r="M686" s="227" t="s">
        <v>3035</v>
      </c>
      <c r="N686" s="227">
        <v>24</v>
      </c>
      <c r="O686" s="227">
        <v>0.22110558999999999</v>
      </c>
      <c r="P686" s="227">
        <v>0.68595545999999996</v>
      </c>
      <c r="Q686" s="227">
        <v>0.87476282999999999</v>
      </c>
      <c r="R686" s="227">
        <v>0.93712240000000002</v>
      </c>
      <c r="S686" s="227">
        <v>1</v>
      </c>
      <c r="T686" s="227">
        <v>7015</v>
      </c>
      <c r="U686" s="227" t="s">
        <v>3036</v>
      </c>
    </row>
    <row r="687" spans="1:21" x14ac:dyDescent="0.25">
      <c r="A687" t="s">
        <v>3037</v>
      </c>
      <c r="B687">
        <v>161</v>
      </c>
      <c r="C687">
        <v>0.17689514000000001</v>
      </c>
      <c r="D687">
        <v>0.68586164999999999</v>
      </c>
      <c r="E687">
        <v>0.92619925999999997</v>
      </c>
      <c r="F687">
        <v>0.93586840000000004</v>
      </c>
      <c r="G687">
        <v>1</v>
      </c>
      <c r="H687">
        <v>3322</v>
      </c>
      <c r="I687" t="s">
        <v>3038</v>
      </c>
      <c r="M687" s="227" t="s">
        <v>3037</v>
      </c>
      <c r="N687" s="227">
        <v>161</v>
      </c>
      <c r="O687" s="227">
        <v>0.17689514000000001</v>
      </c>
      <c r="P687" s="227">
        <v>0.68586164999999999</v>
      </c>
      <c r="Q687" s="227">
        <v>0.92619925999999997</v>
      </c>
      <c r="R687" s="227">
        <v>0.93586840000000004</v>
      </c>
      <c r="S687" s="227">
        <v>1</v>
      </c>
      <c r="T687" s="227">
        <v>3322</v>
      </c>
      <c r="U687" s="227" t="s">
        <v>3038</v>
      </c>
    </row>
    <row r="688" spans="1:21" x14ac:dyDescent="0.25">
      <c r="A688" t="s">
        <v>3039</v>
      </c>
      <c r="B688">
        <v>39</v>
      </c>
      <c r="C688">
        <v>0.21158108</v>
      </c>
      <c r="D688">
        <v>0.68378496</v>
      </c>
      <c r="E688">
        <v>0.8683729</v>
      </c>
      <c r="F688">
        <v>0.93659996999999995</v>
      </c>
      <c r="G688">
        <v>1</v>
      </c>
      <c r="H688">
        <v>6603</v>
      </c>
      <c r="I688" t="s">
        <v>3040</v>
      </c>
      <c r="M688" s="227" t="s">
        <v>3039</v>
      </c>
      <c r="N688" s="227">
        <v>39</v>
      </c>
      <c r="O688" s="227">
        <v>0.21158108</v>
      </c>
      <c r="P688" s="227">
        <v>0.68378496</v>
      </c>
      <c r="Q688" s="227">
        <v>0.8683729</v>
      </c>
      <c r="R688" s="227">
        <v>0.93659996999999995</v>
      </c>
      <c r="S688" s="227">
        <v>1</v>
      </c>
      <c r="T688" s="227">
        <v>6603</v>
      </c>
      <c r="U688" s="227" t="s">
        <v>3040</v>
      </c>
    </row>
    <row r="689" spans="1:21" x14ac:dyDescent="0.25">
      <c r="A689" t="s">
        <v>3041</v>
      </c>
      <c r="B689">
        <v>203</v>
      </c>
      <c r="C689">
        <v>0.14337481999999999</v>
      </c>
      <c r="D689">
        <v>0.68248920000000002</v>
      </c>
      <c r="E689">
        <v>0.99257885999999995</v>
      </c>
      <c r="F689">
        <v>0.93658640000000004</v>
      </c>
      <c r="G689">
        <v>1</v>
      </c>
      <c r="H689">
        <v>4282</v>
      </c>
      <c r="I689" t="s">
        <v>3042</v>
      </c>
      <c r="M689" s="227" t="s">
        <v>3041</v>
      </c>
      <c r="N689" s="227">
        <v>203</v>
      </c>
      <c r="O689" s="227">
        <v>0.14337481999999999</v>
      </c>
      <c r="P689" s="227">
        <v>0.68248920000000002</v>
      </c>
      <c r="Q689" s="227">
        <v>0.99257885999999995</v>
      </c>
      <c r="R689" s="227">
        <v>0.93658640000000004</v>
      </c>
      <c r="S689" s="227">
        <v>1</v>
      </c>
      <c r="T689" s="227">
        <v>4282</v>
      </c>
      <c r="U689" s="227" t="s">
        <v>3042</v>
      </c>
    </row>
    <row r="690" spans="1:21" x14ac:dyDescent="0.25">
      <c r="A690" t="s">
        <v>3043</v>
      </c>
      <c r="B690">
        <v>109</v>
      </c>
      <c r="C690">
        <v>0.16204207000000001</v>
      </c>
      <c r="D690">
        <v>0.68207717000000001</v>
      </c>
      <c r="E690">
        <v>0.96993989999999997</v>
      </c>
      <c r="F690">
        <v>0.93564009999999997</v>
      </c>
      <c r="G690">
        <v>1</v>
      </c>
      <c r="H690">
        <v>5972</v>
      </c>
      <c r="I690" t="s">
        <v>3044</v>
      </c>
      <c r="M690" s="227" t="s">
        <v>3043</v>
      </c>
      <c r="N690" s="227">
        <v>109</v>
      </c>
      <c r="O690" s="227">
        <v>0.16204207000000001</v>
      </c>
      <c r="P690" s="227">
        <v>0.68207717000000001</v>
      </c>
      <c r="Q690" s="227">
        <v>0.96993989999999997</v>
      </c>
      <c r="R690" s="227">
        <v>0.93564009999999997</v>
      </c>
      <c r="S690" s="227">
        <v>1</v>
      </c>
      <c r="T690" s="227">
        <v>5972</v>
      </c>
      <c r="U690" s="227" t="s">
        <v>3044</v>
      </c>
    </row>
    <row r="691" spans="1:21" x14ac:dyDescent="0.25">
      <c r="A691" t="s">
        <v>3045</v>
      </c>
      <c r="B691">
        <v>29</v>
      </c>
      <c r="C691">
        <v>0.17941578999999999</v>
      </c>
      <c r="D691">
        <v>0.67861146000000006</v>
      </c>
      <c r="E691">
        <v>0.95555555999999997</v>
      </c>
      <c r="F691">
        <v>0.93777359999999998</v>
      </c>
      <c r="G691">
        <v>1</v>
      </c>
      <c r="H691">
        <v>2465</v>
      </c>
      <c r="I691" t="s">
        <v>2316</v>
      </c>
      <c r="M691" s="227" t="s">
        <v>3045</v>
      </c>
      <c r="N691" s="227">
        <v>29</v>
      </c>
      <c r="O691" s="227">
        <v>0.17941578999999999</v>
      </c>
      <c r="P691" s="227">
        <v>0.67861146000000006</v>
      </c>
      <c r="Q691" s="227">
        <v>0.95555555999999997</v>
      </c>
      <c r="R691" s="227">
        <v>0.93777359999999998</v>
      </c>
      <c r="S691" s="227">
        <v>1</v>
      </c>
      <c r="T691" s="227">
        <v>2465</v>
      </c>
      <c r="U691" s="227" t="s">
        <v>2316</v>
      </c>
    </row>
    <row r="692" spans="1:21" x14ac:dyDescent="0.25">
      <c r="A692" t="s">
        <v>3046</v>
      </c>
      <c r="B692">
        <v>15</v>
      </c>
      <c r="C692">
        <v>0.23280828000000001</v>
      </c>
      <c r="D692">
        <v>0.67761320000000003</v>
      </c>
      <c r="E692">
        <v>0.88081940000000003</v>
      </c>
      <c r="F692">
        <v>0.93743759999999998</v>
      </c>
      <c r="G692">
        <v>1</v>
      </c>
      <c r="H692">
        <v>4608</v>
      </c>
      <c r="I692" t="s">
        <v>2354</v>
      </c>
      <c r="M692" s="227" t="s">
        <v>3046</v>
      </c>
      <c r="N692" s="227">
        <v>15</v>
      </c>
      <c r="O692" s="227">
        <v>0.23280828000000001</v>
      </c>
      <c r="P692" s="227">
        <v>0.67761320000000003</v>
      </c>
      <c r="Q692" s="227">
        <v>0.88081940000000003</v>
      </c>
      <c r="R692" s="227">
        <v>0.93743759999999998</v>
      </c>
      <c r="S692" s="227">
        <v>1</v>
      </c>
      <c r="T692" s="227">
        <v>4608</v>
      </c>
      <c r="U692" s="227" t="s">
        <v>2354</v>
      </c>
    </row>
    <row r="693" spans="1:21" x14ac:dyDescent="0.25">
      <c r="A693" t="s">
        <v>3047</v>
      </c>
      <c r="B693">
        <v>60</v>
      </c>
      <c r="C693">
        <v>0.18644087000000001</v>
      </c>
      <c r="D693">
        <v>0.67544632999999998</v>
      </c>
      <c r="E693">
        <v>0.91050582999999996</v>
      </c>
      <c r="F693">
        <v>0.93834393999999999</v>
      </c>
      <c r="G693">
        <v>1</v>
      </c>
      <c r="H693">
        <v>2334</v>
      </c>
      <c r="I693" t="s">
        <v>3048</v>
      </c>
      <c r="M693" s="227" t="s">
        <v>3047</v>
      </c>
      <c r="N693" s="227">
        <v>60</v>
      </c>
      <c r="O693" s="227">
        <v>0.18644087000000001</v>
      </c>
      <c r="P693" s="227">
        <v>0.67544632999999998</v>
      </c>
      <c r="Q693" s="227">
        <v>0.91050582999999996</v>
      </c>
      <c r="R693" s="227">
        <v>0.93834393999999999</v>
      </c>
      <c r="S693" s="227">
        <v>1</v>
      </c>
      <c r="T693" s="227">
        <v>2334</v>
      </c>
      <c r="U693" s="227" t="s">
        <v>3048</v>
      </c>
    </row>
    <row r="694" spans="1:21" x14ac:dyDescent="0.25">
      <c r="A694" t="s">
        <v>3049</v>
      </c>
      <c r="B694">
        <v>16</v>
      </c>
      <c r="C694">
        <v>0.23003149000000001</v>
      </c>
      <c r="D694">
        <v>0.67471546000000004</v>
      </c>
      <c r="E694">
        <v>0.88319669999999995</v>
      </c>
      <c r="F694">
        <v>0.93761890000000003</v>
      </c>
      <c r="G694">
        <v>1</v>
      </c>
      <c r="H694">
        <v>1914</v>
      </c>
      <c r="I694" t="s">
        <v>2330</v>
      </c>
      <c r="M694" s="227" t="s">
        <v>3049</v>
      </c>
      <c r="N694" s="227">
        <v>16</v>
      </c>
      <c r="O694" s="227">
        <v>0.23003149000000001</v>
      </c>
      <c r="P694" s="227">
        <v>0.67471546000000004</v>
      </c>
      <c r="Q694" s="227">
        <v>0.88319669999999995</v>
      </c>
      <c r="R694" s="227">
        <v>0.93761890000000003</v>
      </c>
      <c r="S694" s="227">
        <v>1</v>
      </c>
      <c r="T694" s="227">
        <v>1914</v>
      </c>
      <c r="U694" s="227" t="s">
        <v>2330</v>
      </c>
    </row>
    <row r="695" spans="1:21" x14ac:dyDescent="0.25">
      <c r="A695" t="s">
        <v>3050</v>
      </c>
      <c r="B695">
        <v>15</v>
      </c>
      <c r="C695">
        <v>0.22399466000000001</v>
      </c>
      <c r="D695">
        <v>0.67365249999999999</v>
      </c>
      <c r="E695">
        <v>0.93861382999999998</v>
      </c>
      <c r="F695">
        <v>0.93729085000000001</v>
      </c>
      <c r="G695">
        <v>1</v>
      </c>
      <c r="H695">
        <v>6329</v>
      </c>
      <c r="I695" t="s">
        <v>2485</v>
      </c>
      <c r="M695" s="227" t="s">
        <v>3050</v>
      </c>
      <c r="N695" s="227">
        <v>15</v>
      </c>
      <c r="O695" s="227">
        <v>0.22399466000000001</v>
      </c>
      <c r="P695" s="227">
        <v>0.67365249999999999</v>
      </c>
      <c r="Q695" s="227">
        <v>0.93861382999999998</v>
      </c>
      <c r="R695" s="227">
        <v>0.93729085000000001</v>
      </c>
      <c r="S695" s="227">
        <v>1</v>
      </c>
      <c r="T695" s="227">
        <v>6329</v>
      </c>
      <c r="U695" s="227" t="s">
        <v>2485</v>
      </c>
    </row>
    <row r="696" spans="1:21" x14ac:dyDescent="0.25">
      <c r="A696" t="s">
        <v>3051</v>
      </c>
      <c r="B696">
        <v>47</v>
      </c>
      <c r="C696">
        <v>0.17688093999999999</v>
      </c>
      <c r="D696">
        <v>0.67159086000000001</v>
      </c>
      <c r="E696">
        <v>0.95740365999999999</v>
      </c>
      <c r="F696">
        <v>0.93798720000000002</v>
      </c>
      <c r="G696">
        <v>1</v>
      </c>
      <c r="H696">
        <v>8268</v>
      </c>
      <c r="I696" t="s">
        <v>3052</v>
      </c>
      <c r="M696" s="227" t="s">
        <v>3051</v>
      </c>
      <c r="N696" s="227">
        <v>47</v>
      </c>
      <c r="O696" s="227">
        <v>0.17688093999999999</v>
      </c>
      <c r="P696" s="227">
        <v>0.67159086000000001</v>
      </c>
      <c r="Q696" s="227">
        <v>0.95740365999999999</v>
      </c>
      <c r="R696" s="227">
        <v>0.93798720000000002</v>
      </c>
      <c r="S696" s="227">
        <v>1</v>
      </c>
      <c r="T696" s="227">
        <v>8268</v>
      </c>
      <c r="U696" s="227" t="s">
        <v>3052</v>
      </c>
    </row>
    <row r="697" spans="1:21" x14ac:dyDescent="0.25">
      <c r="A697" t="s">
        <v>3053</v>
      </c>
      <c r="B697">
        <v>18</v>
      </c>
      <c r="C697">
        <v>0.2126401</v>
      </c>
      <c r="D697">
        <v>0.67124872999999996</v>
      </c>
      <c r="E697">
        <v>0.89382240000000002</v>
      </c>
      <c r="F697">
        <v>0.93697319999999995</v>
      </c>
      <c r="G697">
        <v>1</v>
      </c>
      <c r="H697">
        <v>1914</v>
      </c>
      <c r="I697" t="s">
        <v>2291</v>
      </c>
      <c r="M697" s="227" t="s">
        <v>3053</v>
      </c>
      <c r="N697" s="227">
        <v>18</v>
      </c>
      <c r="O697" s="227">
        <v>0.2126401</v>
      </c>
      <c r="P697" s="227">
        <v>0.67124872999999996</v>
      </c>
      <c r="Q697" s="227">
        <v>0.89382240000000002</v>
      </c>
      <c r="R697" s="227">
        <v>0.93697319999999995</v>
      </c>
      <c r="S697" s="227">
        <v>1</v>
      </c>
      <c r="T697" s="227">
        <v>1914</v>
      </c>
      <c r="U697" s="227" t="s">
        <v>2291</v>
      </c>
    </row>
    <row r="698" spans="1:21" x14ac:dyDescent="0.25">
      <c r="A698" t="s">
        <v>3054</v>
      </c>
      <c r="B698">
        <v>20</v>
      </c>
      <c r="C698">
        <v>0.24490682999999999</v>
      </c>
      <c r="D698">
        <v>0.66378515999999999</v>
      </c>
      <c r="E698">
        <v>0.8947368</v>
      </c>
      <c r="F698">
        <v>0.94259800000000005</v>
      </c>
      <c r="G698">
        <v>1</v>
      </c>
      <c r="H698">
        <v>5576</v>
      </c>
      <c r="I698" t="s">
        <v>3055</v>
      </c>
      <c r="M698" s="227" t="s">
        <v>3054</v>
      </c>
      <c r="N698" s="227">
        <v>20</v>
      </c>
      <c r="O698" s="227">
        <v>0.24490682999999999</v>
      </c>
      <c r="P698" s="227">
        <v>0.66378515999999999</v>
      </c>
      <c r="Q698" s="227">
        <v>0.8947368</v>
      </c>
      <c r="R698" s="227">
        <v>0.94259800000000005</v>
      </c>
      <c r="S698" s="227">
        <v>1</v>
      </c>
      <c r="T698" s="227">
        <v>5576</v>
      </c>
      <c r="U698" s="227" t="s">
        <v>3055</v>
      </c>
    </row>
    <row r="699" spans="1:21" x14ac:dyDescent="0.25">
      <c r="A699" t="s">
        <v>3056</v>
      </c>
      <c r="B699">
        <v>18</v>
      </c>
      <c r="C699">
        <v>0.240201</v>
      </c>
      <c r="D699">
        <v>0.66035383999999997</v>
      </c>
      <c r="E699">
        <v>0.84120980000000001</v>
      </c>
      <c r="F699">
        <v>0.94437230000000005</v>
      </c>
      <c r="G699">
        <v>1</v>
      </c>
      <c r="H699">
        <v>7282</v>
      </c>
      <c r="I699" t="s">
        <v>3057</v>
      </c>
      <c r="M699" s="227" t="s">
        <v>3056</v>
      </c>
      <c r="N699" s="227">
        <v>18</v>
      </c>
      <c r="O699" s="227">
        <v>0.240201</v>
      </c>
      <c r="P699" s="227">
        <v>0.66035383999999997</v>
      </c>
      <c r="Q699" s="227">
        <v>0.84120980000000001</v>
      </c>
      <c r="R699" s="227">
        <v>0.94437230000000005</v>
      </c>
      <c r="S699" s="227">
        <v>1</v>
      </c>
      <c r="T699" s="227">
        <v>7282</v>
      </c>
      <c r="U699" s="227" t="s">
        <v>3057</v>
      </c>
    </row>
    <row r="700" spans="1:21" x14ac:dyDescent="0.25">
      <c r="A700" t="s">
        <v>3058</v>
      </c>
      <c r="B700">
        <v>85</v>
      </c>
      <c r="C700">
        <v>0.15021704</v>
      </c>
      <c r="D700">
        <v>0.6601129</v>
      </c>
      <c r="E700">
        <v>0.98354660000000005</v>
      </c>
      <c r="F700">
        <v>0.94329470000000004</v>
      </c>
      <c r="G700">
        <v>1</v>
      </c>
      <c r="H700">
        <v>4488</v>
      </c>
      <c r="I700" t="s">
        <v>3059</v>
      </c>
      <c r="M700" s="227" t="s">
        <v>3058</v>
      </c>
      <c r="N700" s="227">
        <v>85</v>
      </c>
      <c r="O700" s="227">
        <v>0.15021704</v>
      </c>
      <c r="P700" s="227">
        <v>0.6601129</v>
      </c>
      <c r="Q700" s="227">
        <v>0.98354660000000005</v>
      </c>
      <c r="R700" s="227">
        <v>0.94329470000000004</v>
      </c>
      <c r="S700" s="227">
        <v>1</v>
      </c>
      <c r="T700" s="227">
        <v>4488</v>
      </c>
      <c r="U700" s="227" t="s">
        <v>3059</v>
      </c>
    </row>
    <row r="701" spans="1:21" x14ac:dyDescent="0.25">
      <c r="A701" t="s">
        <v>3060</v>
      </c>
      <c r="B701">
        <v>32</v>
      </c>
      <c r="C701">
        <v>0.21863768</v>
      </c>
      <c r="D701">
        <v>0.65420455</v>
      </c>
      <c r="E701">
        <v>0.82874020000000004</v>
      </c>
      <c r="F701">
        <v>0.94711434999999999</v>
      </c>
      <c r="G701">
        <v>1</v>
      </c>
      <c r="H701">
        <v>3128</v>
      </c>
      <c r="I701" t="s">
        <v>3061</v>
      </c>
      <c r="M701" s="227" t="s">
        <v>3060</v>
      </c>
      <c r="N701" s="227">
        <v>32</v>
      </c>
      <c r="O701" s="227">
        <v>0.21863768</v>
      </c>
      <c r="P701" s="227">
        <v>0.65420455</v>
      </c>
      <c r="Q701" s="227">
        <v>0.82874020000000004</v>
      </c>
      <c r="R701" s="227">
        <v>0.94711434999999999</v>
      </c>
      <c r="S701" s="227">
        <v>1</v>
      </c>
      <c r="T701" s="227">
        <v>3128</v>
      </c>
      <c r="U701" s="227" t="s">
        <v>3061</v>
      </c>
    </row>
    <row r="702" spans="1:21" x14ac:dyDescent="0.25">
      <c r="A702" t="s">
        <v>3062</v>
      </c>
      <c r="B702">
        <v>32</v>
      </c>
      <c r="C702">
        <v>0.20220204</v>
      </c>
      <c r="D702">
        <v>0.64749230000000002</v>
      </c>
      <c r="E702">
        <v>0.92883897000000004</v>
      </c>
      <c r="F702">
        <v>0.95142764000000002</v>
      </c>
      <c r="G702">
        <v>1</v>
      </c>
      <c r="H702">
        <v>3367</v>
      </c>
      <c r="I702" t="s">
        <v>2372</v>
      </c>
      <c r="M702" s="227" t="s">
        <v>3062</v>
      </c>
      <c r="N702" s="227">
        <v>32</v>
      </c>
      <c r="O702" s="227">
        <v>0.20220204</v>
      </c>
      <c r="P702" s="227">
        <v>0.64749230000000002</v>
      </c>
      <c r="Q702" s="227">
        <v>0.92883897000000004</v>
      </c>
      <c r="R702" s="227">
        <v>0.95142764000000002</v>
      </c>
      <c r="S702" s="227">
        <v>1</v>
      </c>
      <c r="T702" s="227">
        <v>3367</v>
      </c>
      <c r="U702" s="227" t="s">
        <v>2372</v>
      </c>
    </row>
    <row r="703" spans="1:21" x14ac:dyDescent="0.25">
      <c r="A703" t="s">
        <v>3063</v>
      </c>
      <c r="B703">
        <v>33</v>
      </c>
      <c r="C703">
        <v>0.19600417000000001</v>
      </c>
      <c r="D703">
        <v>0.64117223000000001</v>
      </c>
      <c r="E703">
        <v>0.93613135999999997</v>
      </c>
      <c r="F703">
        <v>0.95536520000000003</v>
      </c>
      <c r="G703">
        <v>1</v>
      </c>
      <c r="H703">
        <v>3367</v>
      </c>
      <c r="I703" t="s">
        <v>2774</v>
      </c>
      <c r="M703" s="227" t="s">
        <v>3063</v>
      </c>
      <c r="N703" s="227">
        <v>33</v>
      </c>
      <c r="O703" s="227">
        <v>0.19600417000000001</v>
      </c>
      <c r="P703" s="227">
        <v>0.64117223000000001</v>
      </c>
      <c r="Q703" s="227">
        <v>0.93613135999999997</v>
      </c>
      <c r="R703" s="227">
        <v>0.95536520000000003</v>
      </c>
      <c r="S703" s="227">
        <v>1</v>
      </c>
      <c r="T703" s="227">
        <v>3367</v>
      </c>
      <c r="U703" s="227" t="s">
        <v>2774</v>
      </c>
    </row>
    <row r="704" spans="1:21" x14ac:dyDescent="0.25">
      <c r="A704" t="s">
        <v>3064</v>
      </c>
      <c r="B704">
        <v>23</v>
      </c>
      <c r="C704">
        <v>0.19975767</v>
      </c>
      <c r="D704">
        <v>0.63336720000000002</v>
      </c>
      <c r="E704">
        <v>0.93142855000000002</v>
      </c>
      <c r="F704">
        <v>0.95996110000000001</v>
      </c>
      <c r="G704">
        <v>1</v>
      </c>
      <c r="H704">
        <v>7015</v>
      </c>
      <c r="I704" t="s">
        <v>3065</v>
      </c>
      <c r="M704" s="227" t="s">
        <v>3064</v>
      </c>
      <c r="N704" s="227">
        <v>23</v>
      </c>
      <c r="O704" s="227">
        <v>0.19975767</v>
      </c>
      <c r="P704" s="227">
        <v>0.63336720000000002</v>
      </c>
      <c r="Q704" s="227">
        <v>0.93142855000000002</v>
      </c>
      <c r="R704" s="227">
        <v>0.95996110000000001</v>
      </c>
      <c r="S704" s="227">
        <v>1</v>
      </c>
      <c r="T704" s="227">
        <v>7015</v>
      </c>
      <c r="U704" s="227" t="s">
        <v>3065</v>
      </c>
    </row>
    <row r="705" spans="1:21" x14ac:dyDescent="0.25">
      <c r="A705" t="s">
        <v>3066</v>
      </c>
      <c r="B705">
        <v>101</v>
      </c>
      <c r="C705">
        <v>0.14397794999999999</v>
      </c>
      <c r="D705">
        <v>0.63158303000000005</v>
      </c>
      <c r="E705">
        <v>0.98686680000000004</v>
      </c>
      <c r="F705">
        <v>0.9599934</v>
      </c>
      <c r="G705">
        <v>1</v>
      </c>
      <c r="H705">
        <v>4488</v>
      </c>
      <c r="I705" t="s">
        <v>3067</v>
      </c>
      <c r="M705" s="227" t="s">
        <v>3066</v>
      </c>
      <c r="N705" s="227">
        <v>101</v>
      </c>
      <c r="O705" s="227">
        <v>0.14397794999999999</v>
      </c>
      <c r="P705" s="227">
        <v>0.63158303000000005</v>
      </c>
      <c r="Q705" s="227">
        <v>0.98686680000000004</v>
      </c>
      <c r="R705" s="227">
        <v>0.9599934</v>
      </c>
      <c r="S705" s="227">
        <v>1</v>
      </c>
      <c r="T705" s="227">
        <v>4488</v>
      </c>
      <c r="U705" s="227" t="s">
        <v>3067</v>
      </c>
    </row>
    <row r="706" spans="1:21" x14ac:dyDescent="0.25">
      <c r="A706" t="s">
        <v>3068</v>
      </c>
      <c r="B706">
        <v>35</v>
      </c>
      <c r="C706">
        <v>0.18889030000000001</v>
      </c>
      <c r="D706">
        <v>0.62617487000000005</v>
      </c>
      <c r="E706">
        <v>0.94160586999999996</v>
      </c>
      <c r="F706">
        <v>0.96268779999999998</v>
      </c>
      <c r="G706">
        <v>1</v>
      </c>
      <c r="H706">
        <v>4141</v>
      </c>
      <c r="I706" t="s">
        <v>3069</v>
      </c>
      <c r="M706" s="227" t="s">
        <v>3068</v>
      </c>
      <c r="N706" s="227">
        <v>35</v>
      </c>
      <c r="O706" s="227">
        <v>0.18889030000000001</v>
      </c>
      <c r="P706" s="227">
        <v>0.62617487000000005</v>
      </c>
      <c r="Q706" s="227">
        <v>0.94160586999999996</v>
      </c>
      <c r="R706" s="227">
        <v>0.96268779999999998</v>
      </c>
      <c r="S706" s="227">
        <v>1</v>
      </c>
      <c r="T706" s="227">
        <v>4141</v>
      </c>
      <c r="U706" s="227" t="s">
        <v>3069</v>
      </c>
    </row>
    <row r="707" spans="1:21" x14ac:dyDescent="0.25">
      <c r="A707" t="s">
        <v>3070</v>
      </c>
      <c r="B707">
        <v>16</v>
      </c>
      <c r="C707">
        <v>0.19886334</v>
      </c>
      <c r="D707">
        <v>0.62281379999999997</v>
      </c>
      <c r="E707">
        <v>0.93529410000000002</v>
      </c>
      <c r="F707">
        <v>0.96367159999999996</v>
      </c>
      <c r="G707">
        <v>1</v>
      </c>
      <c r="H707">
        <v>7399</v>
      </c>
      <c r="I707" t="s">
        <v>3071</v>
      </c>
      <c r="M707" s="227" t="s">
        <v>3070</v>
      </c>
      <c r="N707" s="227">
        <v>16</v>
      </c>
      <c r="O707" s="227">
        <v>0.19886334</v>
      </c>
      <c r="P707" s="227">
        <v>0.62281379999999997</v>
      </c>
      <c r="Q707" s="227">
        <v>0.93529410000000002</v>
      </c>
      <c r="R707" s="227">
        <v>0.96367159999999996</v>
      </c>
      <c r="S707" s="227">
        <v>1</v>
      </c>
      <c r="T707" s="227">
        <v>7399</v>
      </c>
      <c r="U707" s="227" t="s">
        <v>3071</v>
      </c>
    </row>
    <row r="708" spans="1:21" x14ac:dyDescent="0.25">
      <c r="A708" t="s">
        <v>3072</v>
      </c>
      <c r="B708">
        <v>19</v>
      </c>
      <c r="C708">
        <v>0.20547171</v>
      </c>
      <c r="D708">
        <v>0.62276553999999995</v>
      </c>
      <c r="E708">
        <v>0.94095236000000004</v>
      </c>
      <c r="F708">
        <v>0.96233164999999998</v>
      </c>
      <c r="G708">
        <v>1</v>
      </c>
      <c r="H708">
        <v>7885</v>
      </c>
      <c r="I708" t="s">
        <v>3073</v>
      </c>
      <c r="M708" s="227" t="s">
        <v>3072</v>
      </c>
      <c r="N708" s="227">
        <v>19</v>
      </c>
      <c r="O708" s="227">
        <v>0.20547171</v>
      </c>
      <c r="P708" s="227">
        <v>0.62276553999999995</v>
      </c>
      <c r="Q708" s="227">
        <v>0.94095236000000004</v>
      </c>
      <c r="R708" s="227">
        <v>0.96233164999999998</v>
      </c>
      <c r="S708" s="227">
        <v>1</v>
      </c>
      <c r="T708" s="227">
        <v>7885</v>
      </c>
      <c r="U708" s="227" t="s">
        <v>3073</v>
      </c>
    </row>
    <row r="709" spans="1:21" x14ac:dyDescent="0.25">
      <c r="A709" t="s">
        <v>3074</v>
      </c>
      <c r="B709">
        <v>78</v>
      </c>
      <c r="C709">
        <v>0.1489365</v>
      </c>
      <c r="D709">
        <v>0.62218050000000003</v>
      </c>
      <c r="E709">
        <v>0.98301890000000003</v>
      </c>
      <c r="F709">
        <v>0.96134776</v>
      </c>
      <c r="G709">
        <v>1</v>
      </c>
      <c r="H709">
        <v>8088</v>
      </c>
      <c r="I709" t="s">
        <v>3075</v>
      </c>
      <c r="M709" s="227" t="s">
        <v>3074</v>
      </c>
      <c r="N709" s="227">
        <v>78</v>
      </c>
      <c r="O709" s="227">
        <v>0.1489365</v>
      </c>
      <c r="P709" s="227">
        <v>0.62218050000000003</v>
      </c>
      <c r="Q709" s="227">
        <v>0.98301890000000003</v>
      </c>
      <c r="R709" s="227">
        <v>0.96134776</v>
      </c>
      <c r="S709" s="227">
        <v>1</v>
      </c>
      <c r="T709" s="227">
        <v>8088</v>
      </c>
      <c r="U709" s="227" t="s">
        <v>3075</v>
      </c>
    </row>
    <row r="710" spans="1:21" x14ac:dyDescent="0.25">
      <c r="A710" t="s">
        <v>3076</v>
      </c>
      <c r="B710">
        <v>123</v>
      </c>
      <c r="C710">
        <v>0.13999470999999999</v>
      </c>
      <c r="D710">
        <v>0.62138450000000001</v>
      </c>
      <c r="E710">
        <v>0.99260630000000005</v>
      </c>
      <c r="F710">
        <v>0.96058730000000003</v>
      </c>
      <c r="G710">
        <v>1</v>
      </c>
      <c r="H710">
        <v>3616</v>
      </c>
      <c r="I710" t="s">
        <v>3077</v>
      </c>
      <c r="M710" s="227" t="s">
        <v>3076</v>
      </c>
      <c r="N710" s="227">
        <v>123</v>
      </c>
      <c r="O710" s="227">
        <v>0.13999470999999999</v>
      </c>
      <c r="P710" s="227">
        <v>0.62138450000000001</v>
      </c>
      <c r="Q710" s="227">
        <v>0.99260630000000005</v>
      </c>
      <c r="R710" s="227">
        <v>0.96058730000000003</v>
      </c>
      <c r="S710" s="227">
        <v>1</v>
      </c>
      <c r="T710" s="227">
        <v>3616</v>
      </c>
      <c r="U710" s="227" t="s">
        <v>3077</v>
      </c>
    </row>
    <row r="711" spans="1:21" x14ac:dyDescent="0.25">
      <c r="A711" t="s">
        <v>3078</v>
      </c>
      <c r="B711">
        <v>48</v>
      </c>
      <c r="C711">
        <v>0.17432929999999999</v>
      </c>
      <c r="D711">
        <v>0.61351120000000003</v>
      </c>
      <c r="E711">
        <v>0.91286310000000004</v>
      </c>
      <c r="F711">
        <v>0.96487769999999995</v>
      </c>
      <c r="G711">
        <v>1</v>
      </c>
      <c r="H711">
        <v>6677</v>
      </c>
      <c r="I711" t="s">
        <v>3079</v>
      </c>
      <c r="M711" s="227" t="s">
        <v>3078</v>
      </c>
      <c r="N711" s="227">
        <v>48</v>
      </c>
      <c r="O711" s="227">
        <v>0.17432929999999999</v>
      </c>
      <c r="P711" s="227">
        <v>0.61351120000000003</v>
      </c>
      <c r="Q711" s="227">
        <v>0.91286310000000004</v>
      </c>
      <c r="R711" s="227">
        <v>0.96487769999999995</v>
      </c>
      <c r="S711" s="227">
        <v>1</v>
      </c>
      <c r="T711" s="227">
        <v>6677</v>
      </c>
      <c r="U711" s="227" t="s">
        <v>3079</v>
      </c>
    </row>
    <row r="712" spans="1:21" x14ac:dyDescent="0.25">
      <c r="A712" t="s">
        <v>3080</v>
      </c>
      <c r="B712">
        <v>71</v>
      </c>
      <c r="C712">
        <v>0.14914984000000001</v>
      </c>
      <c r="D712">
        <v>0.61043935999999999</v>
      </c>
      <c r="E712">
        <v>0.98308269999999998</v>
      </c>
      <c r="F712">
        <v>0.96554949999999995</v>
      </c>
      <c r="G712">
        <v>1</v>
      </c>
      <c r="H712">
        <v>8088</v>
      </c>
      <c r="I712" t="s">
        <v>3081</v>
      </c>
      <c r="M712" s="227" t="s">
        <v>3080</v>
      </c>
      <c r="N712" s="227">
        <v>71</v>
      </c>
      <c r="O712" s="227">
        <v>0.14914984000000001</v>
      </c>
      <c r="P712" s="227">
        <v>0.61043935999999999</v>
      </c>
      <c r="Q712" s="227">
        <v>0.98308269999999998</v>
      </c>
      <c r="R712" s="227">
        <v>0.96554949999999995</v>
      </c>
      <c r="S712" s="227">
        <v>1</v>
      </c>
      <c r="T712" s="227">
        <v>8088</v>
      </c>
      <c r="U712" s="227" t="s">
        <v>3081</v>
      </c>
    </row>
    <row r="713" spans="1:21" x14ac:dyDescent="0.25">
      <c r="A713" t="s">
        <v>3082</v>
      </c>
      <c r="B713">
        <v>30</v>
      </c>
      <c r="C713">
        <v>0.19429114</v>
      </c>
      <c r="D713">
        <v>0.60326120000000005</v>
      </c>
      <c r="E713">
        <v>0.92720305999999997</v>
      </c>
      <c r="F713">
        <v>0.96888529999999995</v>
      </c>
      <c r="G713">
        <v>1</v>
      </c>
      <c r="H713">
        <v>6561</v>
      </c>
      <c r="I713" t="s">
        <v>3083</v>
      </c>
      <c r="M713" s="227" t="s">
        <v>3082</v>
      </c>
      <c r="N713" s="227">
        <v>30</v>
      </c>
      <c r="O713" s="227">
        <v>0.19429114</v>
      </c>
      <c r="P713" s="227">
        <v>0.60326120000000005</v>
      </c>
      <c r="Q713" s="227">
        <v>0.92720305999999997</v>
      </c>
      <c r="R713" s="227">
        <v>0.96888529999999995</v>
      </c>
      <c r="S713" s="227">
        <v>1</v>
      </c>
      <c r="T713" s="227">
        <v>6561</v>
      </c>
      <c r="U713" s="227" t="s">
        <v>3083</v>
      </c>
    </row>
    <row r="714" spans="1:21" x14ac:dyDescent="0.25">
      <c r="A714" t="s">
        <v>3084</v>
      </c>
      <c r="B714">
        <v>49</v>
      </c>
      <c r="C714">
        <v>0.15404242000000001</v>
      </c>
      <c r="D714">
        <v>0.59584820000000005</v>
      </c>
      <c r="E714">
        <v>0.98412699999999997</v>
      </c>
      <c r="F714">
        <v>0.97188180000000002</v>
      </c>
      <c r="G714">
        <v>1</v>
      </c>
      <c r="H714">
        <v>5750</v>
      </c>
      <c r="I714" t="s">
        <v>2844</v>
      </c>
      <c r="M714" s="227" t="s">
        <v>3084</v>
      </c>
      <c r="N714" s="227">
        <v>49</v>
      </c>
      <c r="O714" s="227">
        <v>0.15404242000000001</v>
      </c>
      <c r="P714" s="227">
        <v>0.59584820000000005</v>
      </c>
      <c r="Q714" s="227">
        <v>0.98412699999999997</v>
      </c>
      <c r="R714" s="227">
        <v>0.97188180000000002</v>
      </c>
      <c r="S714" s="227">
        <v>1</v>
      </c>
      <c r="T714" s="227">
        <v>5750</v>
      </c>
      <c r="U714" s="227" t="s">
        <v>2844</v>
      </c>
    </row>
    <row r="715" spans="1:21" x14ac:dyDescent="0.25">
      <c r="A715" t="s">
        <v>3085</v>
      </c>
      <c r="B715">
        <v>113</v>
      </c>
      <c r="C715">
        <v>0.14254157000000001</v>
      </c>
      <c r="D715">
        <v>0.58497169999999998</v>
      </c>
      <c r="E715">
        <v>0.99621930000000003</v>
      </c>
      <c r="F715">
        <v>0.97654189999999996</v>
      </c>
      <c r="G715">
        <v>1</v>
      </c>
      <c r="H715">
        <v>4546</v>
      </c>
      <c r="I715" t="s">
        <v>3086</v>
      </c>
      <c r="M715" s="227" t="s">
        <v>3085</v>
      </c>
      <c r="N715" s="227">
        <v>113</v>
      </c>
      <c r="O715" s="227">
        <v>0.14254157000000001</v>
      </c>
      <c r="P715" s="227">
        <v>0.58497169999999998</v>
      </c>
      <c r="Q715" s="227">
        <v>0.99621930000000003</v>
      </c>
      <c r="R715" s="227">
        <v>0.97654189999999996</v>
      </c>
      <c r="S715" s="227">
        <v>1</v>
      </c>
      <c r="T715" s="227">
        <v>4546</v>
      </c>
      <c r="U715" s="227" t="s">
        <v>3086</v>
      </c>
    </row>
    <row r="716" spans="1:21" x14ac:dyDescent="0.25">
      <c r="A716" t="s">
        <v>3087</v>
      </c>
      <c r="B716">
        <v>163</v>
      </c>
      <c r="C716">
        <v>0.13468253999999999</v>
      </c>
      <c r="D716">
        <v>0.58449439999999997</v>
      </c>
      <c r="E716">
        <v>1</v>
      </c>
      <c r="F716">
        <v>0.97543579999999996</v>
      </c>
      <c r="G716">
        <v>1</v>
      </c>
      <c r="H716">
        <v>6677</v>
      </c>
      <c r="I716" t="s">
        <v>3088</v>
      </c>
      <c r="M716" s="227" t="s">
        <v>3087</v>
      </c>
      <c r="N716" s="227">
        <v>163</v>
      </c>
      <c r="O716" s="227">
        <v>0.13468253999999999</v>
      </c>
      <c r="P716" s="227">
        <v>0.58449439999999997</v>
      </c>
      <c r="Q716" s="227">
        <v>1</v>
      </c>
      <c r="R716" s="227">
        <v>0.97543579999999996</v>
      </c>
      <c r="S716" s="227">
        <v>1</v>
      </c>
      <c r="T716" s="227">
        <v>6677</v>
      </c>
      <c r="U716" s="227" t="s">
        <v>3088</v>
      </c>
    </row>
    <row r="717" spans="1:21" x14ac:dyDescent="0.25">
      <c r="A717" t="s">
        <v>3089</v>
      </c>
      <c r="B717">
        <v>22</v>
      </c>
      <c r="C717">
        <v>0.20345123000000001</v>
      </c>
      <c r="D717">
        <v>0.57583980000000001</v>
      </c>
      <c r="E717">
        <v>0.95563770000000003</v>
      </c>
      <c r="F717">
        <v>0.97846239999999995</v>
      </c>
      <c r="G717">
        <v>1</v>
      </c>
      <c r="H717">
        <v>4178</v>
      </c>
      <c r="I717" t="s">
        <v>2717</v>
      </c>
      <c r="M717" s="227" t="s">
        <v>3089</v>
      </c>
      <c r="N717" s="227">
        <v>22</v>
      </c>
      <c r="O717" s="227">
        <v>0.20345123000000001</v>
      </c>
      <c r="P717" s="227">
        <v>0.57583980000000001</v>
      </c>
      <c r="Q717" s="227">
        <v>0.95563770000000003</v>
      </c>
      <c r="R717" s="227">
        <v>0.97846239999999995</v>
      </c>
      <c r="S717" s="227">
        <v>1</v>
      </c>
      <c r="T717" s="227">
        <v>4178</v>
      </c>
      <c r="U717" s="227" t="s">
        <v>2717</v>
      </c>
    </row>
    <row r="718" spans="1:21" x14ac:dyDescent="0.25">
      <c r="A718" t="s">
        <v>3090</v>
      </c>
      <c r="B718">
        <v>35</v>
      </c>
      <c r="C718">
        <v>0.17730239</v>
      </c>
      <c r="D718">
        <v>0.56909609999999999</v>
      </c>
      <c r="E718">
        <v>0.96660480000000004</v>
      </c>
      <c r="F718">
        <v>0.98022394999999996</v>
      </c>
      <c r="G718">
        <v>1</v>
      </c>
      <c r="H718">
        <v>6247</v>
      </c>
      <c r="I718" t="s">
        <v>3091</v>
      </c>
      <c r="M718" s="227" t="s">
        <v>3090</v>
      </c>
      <c r="N718" s="227">
        <v>35</v>
      </c>
      <c r="O718" s="227">
        <v>0.17730239</v>
      </c>
      <c r="P718" s="227">
        <v>0.56909609999999999</v>
      </c>
      <c r="Q718" s="227">
        <v>0.96660480000000004</v>
      </c>
      <c r="R718" s="227">
        <v>0.98022394999999996</v>
      </c>
      <c r="S718" s="227">
        <v>1</v>
      </c>
      <c r="T718" s="227">
        <v>6247</v>
      </c>
      <c r="U718" s="227" t="s">
        <v>3091</v>
      </c>
    </row>
    <row r="719" spans="1:21" x14ac:dyDescent="0.25">
      <c r="A719" t="s">
        <v>3092</v>
      </c>
      <c r="B719">
        <v>33</v>
      </c>
      <c r="C719">
        <v>0.16345206000000001</v>
      </c>
      <c r="D719">
        <v>0.56040230000000002</v>
      </c>
      <c r="E719">
        <v>0.97153699999999998</v>
      </c>
      <c r="F719">
        <v>0.98276940000000002</v>
      </c>
      <c r="G719">
        <v>1</v>
      </c>
      <c r="H719">
        <v>6865</v>
      </c>
      <c r="I719" t="s">
        <v>3093</v>
      </c>
      <c r="M719" s="227" t="s">
        <v>3092</v>
      </c>
      <c r="N719" s="227">
        <v>33</v>
      </c>
      <c r="O719" s="227">
        <v>0.16345206000000001</v>
      </c>
      <c r="P719" s="227">
        <v>0.56040230000000002</v>
      </c>
      <c r="Q719" s="227">
        <v>0.97153699999999998</v>
      </c>
      <c r="R719" s="227">
        <v>0.98276940000000002</v>
      </c>
      <c r="S719" s="227">
        <v>1</v>
      </c>
      <c r="T719" s="227">
        <v>6865</v>
      </c>
      <c r="U719" s="227" t="s">
        <v>3093</v>
      </c>
    </row>
    <row r="720" spans="1:21" x14ac:dyDescent="0.25">
      <c r="A720" t="s">
        <v>3094</v>
      </c>
      <c r="B720">
        <v>28</v>
      </c>
      <c r="C720">
        <v>0.18573275</v>
      </c>
      <c r="D720">
        <v>0.55668910000000005</v>
      </c>
      <c r="E720">
        <v>0.98272884000000005</v>
      </c>
      <c r="F720">
        <v>0.98294890000000001</v>
      </c>
      <c r="G720">
        <v>1</v>
      </c>
      <c r="H720">
        <v>6378</v>
      </c>
      <c r="I720" t="s">
        <v>2840</v>
      </c>
      <c r="M720" s="227" t="s">
        <v>3094</v>
      </c>
      <c r="N720" s="227">
        <v>28</v>
      </c>
      <c r="O720" s="227">
        <v>0.18573275</v>
      </c>
      <c r="P720" s="227">
        <v>0.55668910000000005</v>
      </c>
      <c r="Q720" s="227">
        <v>0.98272884000000005</v>
      </c>
      <c r="R720" s="227">
        <v>0.98294890000000001</v>
      </c>
      <c r="S720" s="227">
        <v>1</v>
      </c>
      <c r="T720" s="227">
        <v>6378</v>
      </c>
      <c r="U720" s="227" t="s">
        <v>2840</v>
      </c>
    </row>
    <row r="721" spans="1:21" x14ac:dyDescent="0.25">
      <c r="A721" t="s">
        <v>3095</v>
      </c>
      <c r="B721">
        <v>39</v>
      </c>
      <c r="C721">
        <v>0.18118843000000001</v>
      </c>
      <c r="D721">
        <v>0.55523060000000002</v>
      </c>
      <c r="E721">
        <v>0.90457255000000003</v>
      </c>
      <c r="F721">
        <v>0.98223210000000005</v>
      </c>
      <c r="G721">
        <v>1</v>
      </c>
      <c r="H721">
        <v>784</v>
      </c>
      <c r="I721" t="s">
        <v>3096</v>
      </c>
      <c r="M721" s="227" t="s">
        <v>3095</v>
      </c>
      <c r="N721" s="227">
        <v>39</v>
      </c>
      <c r="O721" s="227">
        <v>0.18118843000000001</v>
      </c>
      <c r="P721" s="227">
        <v>0.55523060000000002</v>
      </c>
      <c r="Q721" s="227">
        <v>0.90457255000000003</v>
      </c>
      <c r="R721" s="227">
        <v>0.98223210000000005</v>
      </c>
      <c r="S721" s="227">
        <v>1</v>
      </c>
      <c r="T721" s="227">
        <v>784</v>
      </c>
      <c r="U721" s="227" t="s">
        <v>3096</v>
      </c>
    </row>
    <row r="722" spans="1:21" x14ac:dyDescent="0.25">
      <c r="A722" t="s">
        <v>3097</v>
      </c>
      <c r="B722">
        <v>24</v>
      </c>
      <c r="C722">
        <v>0.18012515000000001</v>
      </c>
      <c r="D722">
        <v>0.54247389999999995</v>
      </c>
      <c r="E722">
        <v>0.96880734000000002</v>
      </c>
      <c r="F722">
        <v>0.98585730000000005</v>
      </c>
      <c r="G722">
        <v>1</v>
      </c>
      <c r="H722">
        <v>6603</v>
      </c>
      <c r="I722" t="s">
        <v>3098</v>
      </c>
      <c r="M722" s="227" t="s">
        <v>3097</v>
      </c>
      <c r="N722" s="227">
        <v>24</v>
      </c>
      <c r="O722" s="227">
        <v>0.18012515000000001</v>
      </c>
      <c r="P722" s="227">
        <v>0.54247389999999995</v>
      </c>
      <c r="Q722" s="227">
        <v>0.96880734000000002</v>
      </c>
      <c r="R722" s="227">
        <v>0.98585730000000005</v>
      </c>
      <c r="S722" s="227">
        <v>1</v>
      </c>
      <c r="T722" s="227">
        <v>6603</v>
      </c>
      <c r="U722" s="227" t="s">
        <v>3098</v>
      </c>
    </row>
    <row r="723" spans="1:21" x14ac:dyDescent="0.25">
      <c r="A723" t="s">
        <v>3099</v>
      </c>
      <c r="B723">
        <v>24</v>
      </c>
      <c r="C723">
        <v>0.17197150999999999</v>
      </c>
      <c r="D723">
        <v>0.53826459999999998</v>
      </c>
      <c r="E723">
        <v>0.98292219999999997</v>
      </c>
      <c r="F723">
        <v>0.98604150000000002</v>
      </c>
      <c r="G723">
        <v>1</v>
      </c>
      <c r="H723">
        <v>2285</v>
      </c>
      <c r="I723" t="s">
        <v>2946</v>
      </c>
      <c r="M723" s="227" t="s">
        <v>3099</v>
      </c>
      <c r="N723" s="227">
        <v>24</v>
      </c>
      <c r="O723" s="227">
        <v>0.17197150999999999</v>
      </c>
      <c r="P723" s="227">
        <v>0.53826459999999998</v>
      </c>
      <c r="Q723" s="227">
        <v>0.98292219999999997</v>
      </c>
      <c r="R723" s="227">
        <v>0.98604150000000002</v>
      </c>
      <c r="S723" s="227">
        <v>1</v>
      </c>
      <c r="T723" s="227">
        <v>2285</v>
      </c>
      <c r="U723" s="227" t="s">
        <v>2946</v>
      </c>
    </row>
    <row r="724" spans="1:21" x14ac:dyDescent="0.25">
      <c r="A724" t="s">
        <v>3100</v>
      </c>
      <c r="B724">
        <v>34</v>
      </c>
      <c r="C724">
        <v>0.16230507</v>
      </c>
      <c r="D724">
        <v>0.52062059999999999</v>
      </c>
      <c r="E724">
        <v>0.97904760000000002</v>
      </c>
      <c r="F724">
        <v>0.99000889999999997</v>
      </c>
      <c r="G724">
        <v>1</v>
      </c>
      <c r="H724">
        <v>2282</v>
      </c>
      <c r="I724" t="s">
        <v>3048</v>
      </c>
      <c r="M724" s="227" t="s">
        <v>3100</v>
      </c>
      <c r="N724" s="227">
        <v>34</v>
      </c>
      <c r="O724" s="227">
        <v>0.16230507</v>
      </c>
      <c r="P724" s="227">
        <v>0.52062059999999999</v>
      </c>
      <c r="Q724" s="227">
        <v>0.97904760000000002</v>
      </c>
      <c r="R724" s="227">
        <v>0.99000889999999997</v>
      </c>
      <c r="S724" s="227">
        <v>1</v>
      </c>
      <c r="T724" s="227">
        <v>2282</v>
      </c>
      <c r="U724" s="227" t="s">
        <v>3048</v>
      </c>
    </row>
    <row r="725" spans="1:21" x14ac:dyDescent="0.25">
      <c r="A725" t="s">
        <v>3101</v>
      </c>
      <c r="B725">
        <v>24</v>
      </c>
      <c r="C725">
        <v>0.19777665999999999</v>
      </c>
      <c r="D725">
        <v>0.51921993</v>
      </c>
      <c r="E725">
        <v>0.93258430000000003</v>
      </c>
      <c r="F725">
        <v>0.98899113999999999</v>
      </c>
      <c r="G725">
        <v>1</v>
      </c>
      <c r="H725">
        <v>3425</v>
      </c>
      <c r="I725" t="s">
        <v>3102</v>
      </c>
      <c r="M725" s="227" t="s">
        <v>3101</v>
      </c>
      <c r="N725" s="227">
        <v>24</v>
      </c>
      <c r="O725" s="227">
        <v>0.19777665999999999</v>
      </c>
      <c r="P725" s="227">
        <v>0.51921993</v>
      </c>
      <c r="Q725" s="227">
        <v>0.93258430000000003</v>
      </c>
      <c r="R725" s="227">
        <v>0.98899113999999999</v>
      </c>
      <c r="S725" s="227">
        <v>1</v>
      </c>
      <c r="T725" s="227">
        <v>3425</v>
      </c>
      <c r="U725" s="227" t="s">
        <v>3102</v>
      </c>
    </row>
    <row r="726" spans="1:21" x14ac:dyDescent="0.25">
      <c r="A726" t="s">
        <v>3103</v>
      </c>
      <c r="B726">
        <v>31</v>
      </c>
      <c r="C726">
        <v>0.1479201</v>
      </c>
      <c r="D726">
        <v>0.50788312999999996</v>
      </c>
      <c r="E726">
        <v>0.99049430000000005</v>
      </c>
      <c r="F726">
        <v>0.99068210000000001</v>
      </c>
      <c r="G726">
        <v>1</v>
      </c>
      <c r="H726">
        <v>6865</v>
      </c>
      <c r="I726" t="s">
        <v>3104</v>
      </c>
      <c r="M726" s="227" t="s">
        <v>3103</v>
      </c>
      <c r="N726" s="227">
        <v>31</v>
      </c>
      <c r="O726" s="227">
        <v>0.1479201</v>
      </c>
      <c r="P726" s="227">
        <v>0.50788312999999996</v>
      </c>
      <c r="Q726" s="227">
        <v>0.99049430000000005</v>
      </c>
      <c r="R726" s="227">
        <v>0.99068210000000001</v>
      </c>
      <c r="S726" s="227">
        <v>1</v>
      </c>
      <c r="T726" s="227">
        <v>6865</v>
      </c>
      <c r="U726" s="227" t="s">
        <v>3104</v>
      </c>
    </row>
    <row r="727" spans="1:21" x14ac:dyDescent="0.25">
      <c r="A727" t="s">
        <v>3105</v>
      </c>
      <c r="B727">
        <v>28</v>
      </c>
      <c r="C727">
        <v>0.19166604000000001</v>
      </c>
      <c r="D727">
        <v>0.49991370000000002</v>
      </c>
      <c r="E727">
        <v>0.97769516999999995</v>
      </c>
      <c r="F727">
        <v>0.99113010000000001</v>
      </c>
      <c r="G727">
        <v>1</v>
      </c>
      <c r="H727">
        <v>7600</v>
      </c>
      <c r="I727" t="s">
        <v>3106</v>
      </c>
      <c r="M727" s="227" t="s">
        <v>3105</v>
      </c>
      <c r="N727" s="227">
        <v>28</v>
      </c>
      <c r="O727" s="227">
        <v>0.19166604000000001</v>
      </c>
      <c r="P727" s="227">
        <v>0.49991370000000002</v>
      </c>
      <c r="Q727" s="227">
        <v>0.97769516999999995</v>
      </c>
      <c r="R727" s="227">
        <v>0.99113010000000001</v>
      </c>
      <c r="S727" s="227">
        <v>1</v>
      </c>
      <c r="T727" s="227">
        <v>7600</v>
      </c>
      <c r="U727" s="227" t="s">
        <v>3106</v>
      </c>
    </row>
    <row r="728" spans="1:21" x14ac:dyDescent="0.25">
      <c r="A728" t="s">
        <v>3107</v>
      </c>
      <c r="B728">
        <v>18</v>
      </c>
      <c r="C728">
        <v>0.16448618000000001</v>
      </c>
      <c r="D728">
        <v>0.48423904000000001</v>
      </c>
      <c r="E728">
        <v>0.98159510000000005</v>
      </c>
      <c r="F728">
        <v>0.99296050000000002</v>
      </c>
      <c r="G728">
        <v>1</v>
      </c>
      <c r="H728">
        <v>6430</v>
      </c>
      <c r="I728" t="s">
        <v>3108</v>
      </c>
      <c r="M728" s="227" t="s">
        <v>3107</v>
      </c>
      <c r="N728" s="227">
        <v>18</v>
      </c>
      <c r="O728" s="227">
        <v>0.16448618000000001</v>
      </c>
      <c r="P728" s="227">
        <v>0.48423904000000001</v>
      </c>
      <c r="Q728" s="227">
        <v>0.98159510000000005</v>
      </c>
      <c r="R728" s="227">
        <v>0.99296050000000002</v>
      </c>
      <c r="S728" s="227">
        <v>1</v>
      </c>
      <c r="T728" s="227">
        <v>6430</v>
      </c>
      <c r="U728" s="227" t="s">
        <v>3108</v>
      </c>
    </row>
    <row r="729" spans="1:21" x14ac:dyDescent="0.25">
      <c r="A729" t="s">
        <v>3109</v>
      </c>
      <c r="B729">
        <v>18</v>
      </c>
      <c r="C729">
        <v>0.1884613</v>
      </c>
      <c r="D729">
        <v>0.46977234000000001</v>
      </c>
      <c r="E729">
        <v>0.96045195999999999</v>
      </c>
      <c r="F729">
        <v>0.99399630000000005</v>
      </c>
      <c r="G729">
        <v>1</v>
      </c>
      <c r="H729">
        <v>6264</v>
      </c>
      <c r="I729" t="s">
        <v>3110</v>
      </c>
      <c r="M729" s="227" t="s">
        <v>3109</v>
      </c>
      <c r="N729" s="227">
        <v>18</v>
      </c>
      <c r="O729" s="227">
        <v>0.1884613</v>
      </c>
      <c r="P729" s="227">
        <v>0.46977234000000001</v>
      </c>
      <c r="Q729" s="227">
        <v>0.96045195999999999</v>
      </c>
      <c r="R729" s="227">
        <v>0.99399630000000005</v>
      </c>
      <c r="S729" s="227">
        <v>1</v>
      </c>
      <c r="T729" s="227">
        <v>6264</v>
      </c>
      <c r="U729" s="227" t="s">
        <v>3110</v>
      </c>
    </row>
    <row r="730" spans="1:21" x14ac:dyDescent="0.25">
      <c r="A730" t="s">
        <v>3111</v>
      </c>
      <c r="B730">
        <v>16</v>
      </c>
      <c r="C730">
        <v>0.15240661999999999</v>
      </c>
      <c r="D730">
        <v>0.45644667999999999</v>
      </c>
      <c r="E730">
        <v>0.99593496000000004</v>
      </c>
      <c r="F730">
        <v>0.99453939999999996</v>
      </c>
      <c r="G730">
        <v>1</v>
      </c>
      <c r="H730">
        <v>8836</v>
      </c>
      <c r="I730" t="s">
        <v>3112</v>
      </c>
      <c r="M730" s="227" t="s">
        <v>3111</v>
      </c>
      <c r="N730" s="227">
        <v>16</v>
      </c>
      <c r="O730" s="227">
        <v>0.15240661999999999</v>
      </c>
      <c r="P730" s="227">
        <v>0.45644667999999999</v>
      </c>
      <c r="Q730" s="227">
        <v>0.99593496000000004</v>
      </c>
      <c r="R730" s="227">
        <v>0.99453939999999996</v>
      </c>
      <c r="S730" s="227">
        <v>1</v>
      </c>
      <c r="T730" s="227">
        <v>8836</v>
      </c>
      <c r="U730" s="227" t="s">
        <v>3112</v>
      </c>
    </row>
    <row r="731" spans="1:21" x14ac:dyDescent="0.25">
      <c r="A731" t="s">
        <v>3113</v>
      </c>
      <c r="B731">
        <v>15</v>
      </c>
      <c r="C731">
        <v>0.16093487000000001</v>
      </c>
      <c r="D731">
        <v>0.41491807000000003</v>
      </c>
      <c r="E731">
        <v>0.98960499999999996</v>
      </c>
      <c r="F731">
        <v>0.99704576</v>
      </c>
      <c r="G731">
        <v>1</v>
      </c>
      <c r="H731">
        <v>8836</v>
      </c>
      <c r="I731" t="s">
        <v>3114</v>
      </c>
      <c r="M731" s="227" t="s">
        <v>3113</v>
      </c>
      <c r="N731" s="227">
        <v>15</v>
      </c>
      <c r="O731" s="227">
        <v>0.16093487000000001</v>
      </c>
      <c r="P731" s="227">
        <v>0.41491807000000003</v>
      </c>
      <c r="Q731" s="227">
        <v>0.98960499999999996</v>
      </c>
      <c r="R731" s="227">
        <v>0.99704576</v>
      </c>
      <c r="S731" s="227">
        <v>1</v>
      </c>
      <c r="T731" s="227">
        <v>8836</v>
      </c>
      <c r="U731" s="227" t="s">
        <v>3114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5"/>
  <sheetViews>
    <sheetView zoomScale="70" zoomScaleNormal="70" workbookViewId="0">
      <selection activeCell="A2" sqref="A2"/>
    </sheetView>
  </sheetViews>
  <sheetFormatPr defaultRowHeight="15" x14ac:dyDescent="0.25"/>
  <cols>
    <col min="1" max="1" width="23.28515625" style="123" customWidth="1"/>
    <col min="2" max="2" width="9.140625" style="123"/>
    <col min="3" max="3" width="12.85546875" style="187" customWidth="1"/>
    <col min="4" max="4" width="9.140625" style="123"/>
    <col min="5" max="5" width="18.28515625" style="123" bestFit="1" customWidth="1"/>
    <col min="6" max="6" width="9.140625" style="123"/>
    <col min="7" max="7" width="12.85546875" style="187" customWidth="1"/>
    <col min="8" max="8" width="40.140625" style="191" bestFit="1" customWidth="1"/>
    <col min="9" max="9" width="9.140625" style="123"/>
    <col min="10" max="10" width="28.42578125" style="123" customWidth="1"/>
    <col min="11" max="11" width="9.140625" style="123"/>
    <col min="12" max="12" width="12.85546875" style="123" customWidth="1"/>
    <col min="13" max="13" width="9.140625" style="123"/>
    <col min="14" max="14" width="23.42578125" style="123" customWidth="1"/>
    <col min="15" max="15" width="15.42578125" style="123" customWidth="1"/>
    <col min="16" max="16" width="9.140625" style="123"/>
    <col min="17" max="17" width="20.28515625" style="123" bestFit="1" customWidth="1"/>
    <col min="18" max="16384" width="9.140625" style="123"/>
  </cols>
  <sheetData>
    <row r="1" spans="1:22" x14ac:dyDescent="0.25">
      <c r="A1" s="1" t="s">
        <v>3765</v>
      </c>
    </row>
    <row r="2" spans="1:22" s="186" customFormat="1" ht="60" x14ac:dyDescent="0.25">
      <c r="A2" s="185" t="s">
        <v>812</v>
      </c>
      <c r="B2" s="185" t="s">
        <v>813</v>
      </c>
      <c r="C2" s="188" t="s">
        <v>3732</v>
      </c>
      <c r="D2" s="185"/>
      <c r="E2" s="185" t="s">
        <v>3496</v>
      </c>
      <c r="F2" s="185" t="s">
        <v>813</v>
      </c>
      <c r="G2" s="188" t="s">
        <v>3732</v>
      </c>
      <c r="H2" s="189" t="s">
        <v>3466</v>
      </c>
      <c r="I2" s="185"/>
      <c r="J2" s="185" t="s">
        <v>3495</v>
      </c>
      <c r="K2" s="185" t="s">
        <v>813</v>
      </c>
      <c r="L2" s="188" t="s">
        <v>3732</v>
      </c>
      <c r="M2" s="185"/>
      <c r="N2" s="185" t="s">
        <v>3755</v>
      </c>
      <c r="O2" s="188" t="s">
        <v>3754</v>
      </c>
      <c r="P2" s="188"/>
    </row>
    <row r="3" spans="1:22" x14ac:dyDescent="0.25">
      <c r="A3" s="183" t="s">
        <v>18</v>
      </c>
      <c r="B3" s="123">
        <v>8289</v>
      </c>
      <c r="C3" s="187">
        <v>-0.62983114446529076</v>
      </c>
      <c r="E3" s="123" t="s">
        <v>814</v>
      </c>
      <c r="F3" s="123">
        <v>509</v>
      </c>
      <c r="G3" s="187">
        <v>0.60356472795497185</v>
      </c>
      <c r="H3" s="191" t="s">
        <v>3478</v>
      </c>
      <c r="J3" s="61" t="s">
        <v>3486</v>
      </c>
      <c r="K3" s="123">
        <v>875</v>
      </c>
      <c r="L3" s="187">
        <v>0.45196998123827392</v>
      </c>
      <c r="N3" s="123" t="s">
        <v>3734</v>
      </c>
      <c r="O3" s="187">
        <v>0.74545664770827391</v>
      </c>
      <c r="Q3" s="186"/>
      <c r="R3" s="186"/>
      <c r="S3" s="186"/>
      <c r="T3" s="186"/>
      <c r="U3" s="186"/>
      <c r="V3" s="186"/>
    </row>
    <row r="4" spans="1:22" x14ac:dyDescent="0.25">
      <c r="A4" s="183" t="s">
        <v>19</v>
      </c>
      <c r="B4" s="123">
        <v>57492</v>
      </c>
      <c r="C4" s="187">
        <v>-0.66529080675422148</v>
      </c>
      <c r="E4" s="123" t="s">
        <v>815</v>
      </c>
      <c r="F4" s="123">
        <v>513</v>
      </c>
      <c r="G4" s="187">
        <v>0.89887429643527206</v>
      </c>
      <c r="H4" s="191" t="s">
        <v>3478</v>
      </c>
      <c r="J4" s="61" t="s">
        <v>3484</v>
      </c>
      <c r="K4" s="123">
        <v>2593</v>
      </c>
      <c r="L4" s="187">
        <v>0.55534709193245779</v>
      </c>
      <c r="N4" s="123" t="s">
        <v>3736</v>
      </c>
      <c r="O4" s="187">
        <v>0.59678134625610246</v>
      </c>
      <c r="Q4" s="186"/>
      <c r="R4" s="186"/>
      <c r="S4" s="186"/>
      <c r="T4" s="186"/>
      <c r="U4" s="186"/>
      <c r="V4" s="186"/>
    </row>
    <row r="5" spans="1:22" x14ac:dyDescent="0.25">
      <c r="A5" s="123" t="s">
        <v>816</v>
      </c>
      <c r="B5" s="123">
        <v>196528</v>
      </c>
      <c r="C5" s="187">
        <v>-0.47467166979362102</v>
      </c>
      <c r="E5" s="123" t="s">
        <v>817</v>
      </c>
      <c r="F5" s="123">
        <v>514</v>
      </c>
      <c r="G5" s="187">
        <v>0.74934333958724197</v>
      </c>
      <c r="H5" s="191" t="s">
        <v>3478</v>
      </c>
      <c r="J5" s="61" t="s">
        <v>3481</v>
      </c>
      <c r="K5" s="123">
        <v>2805</v>
      </c>
      <c r="L5" s="187">
        <v>0.65309568480300195</v>
      </c>
      <c r="N5" s="123" t="s">
        <v>3738</v>
      </c>
      <c r="O5" s="187">
        <v>0.59054601159864317</v>
      </c>
      <c r="Q5" s="186"/>
      <c r="R5" s="186"/>
      <c r="S5" s="186"/>
      <c r="T5" s="186"/>
      <c r="U5" s="186"/>
      <c r="V5" s="186"/>
    </row>
    <row r="6" spans="1:22" x14ac:dyDescent="0.25">
      <c r="A6" s="123" t="s">
        <v>818</v>
      </c>
      <c r="B6" s="123">
        <v>55870</v>
      </c>
      <c r="C6" s="187">
        <v>-0.57298311444652905</v>
      </c>
      <c r="E6" s="123" t="s">
        <v>819</v>
      </c>
      <c r="F6" s="123">
        <v>432369</v>
      </c>
      <c r="G6" s="187">
        <v>0.63808630393996257</v>
      </c>
      <c r="H6" s="191" t="s">
        <v>3478</v>
      </c>
      <c r="J6" s="61" t="s">
        <v>3482</v>
      </c>
      <c r="K6" s="123">
        <v>2806</v>
      </c>
      <c r="L6" s="187">
        <v>0.59962476547842403</v>
      </c>
      <c r="N6" s="123" t="s">
        <v>3735</v>
      </c>
      <c r="O6" s="187">
        <v>0.56100229784440314</v>
      </c>
      <c r="Q6" s="186"/>
      <c r="R6" s="186"/>
      <c r="S6" s="186"/>
      <c r="T6" s="186"/>
      <c r="U6" s="186"/>
      <c r="V6" s="186"/>
    </row>
    <row r="7" spans="1:22" x14ac:dyDescent="0.25">
      <c r="A7" s="123" t="s">
        <v>820</v>
      </c>
      <c r="B7" s="123">
        <v>11177</v>
      </c>
      <c r="C7" s="187">
        <v>-0.66135084427767354</v>
      </c>
      <c r="E7" s="123" t="s">
        <v>821</v>
      </c>
      <c r="F7" s="123">
        <v>516</v>
      </c>
      <c r="G7" s="187">
        <v>0.71801125703564728</v>
      </c>
      <c r="H7" s="191" t="s">
        <v>3478</v>
      </c>
      <c r="J7" s="61" t="s">
        <v>1212</v>
      </c>
      <c r="K7" s="123">
        <v>2875</v>
      </c>
      <c r="L7" s="187">
        <v>0.41163227016885556</v>
      </c>
      <c r="N7" s="123" t="s">
        <v>3733</v>
      </c>
      <c r="O7" s="187">
        <v>0.66232629390524123</v>
      </c>
      <c r="Q7" s="186"/>
      <c r="R7" s="186"/>
      <c r="S7" s="186"/>
      <c r="T7" s="186"/>
      <c r="U7" s="186"/>
      <c r="V7" s="186"/>
    </row>
    <row r="8" spans="1:22" x14ac:dyDescent="0.25">
      <c r="A8" s="123" t="s">
        <v>822</v>
      </c>
      <c r="B8" s="123">
        <v>54880</v>
      </c>
      <c r="C8" s="187">
        <v>-0.60938086303939965</v>
      </c>
      <c r="E8" s="123" t="s">
        <v>823</v>
      </c>
      <c r="F8" s="123">
        <v>517</v>
      </c>
      <c r="G8" s="187">
        <v>0.48105065666041269</v>
      </c>
      <c r="H8" s="191" t="s">
        <v>3478</v>
      </c>
      <c r="J8" s="61" t="s">
        <v>3490</v>
      </c>
      <c r="K8" s="123">
        <v>2937</v>
      </c>
      <c r="L8" s="187">
        <v>0.4091932457786116</v>
      </c>
      <c r="N8" s="123" t="s">
        <v>3751</v>
      </c>
      <c r="O8" s="187">
        <v>0.67261188313819897</v>
      </c>
      <c r="Q8" s="186"/>
      <c r="R8" s="186"/>
      <c r="S8" s="186"/>
      <c r="T8" s="186"/>
      <c r="U8" s="186"/>
      <c r="V8" s="186"/>
    </row>
    <row r="9" spans="1:22" x14ac:dyDescent="0.25">
      <c r="A9" s="123" t="s">
        <v>824</v>
      </c>
      <c r="B9" s="123">
        <v>648</v>
      </c>
      <c r="C9" s="187">
        <v>-0.42682926829268292</v>
      </c>
      <c r="E9" s="123" t="s">
        <v>825</v>
      </c>
      <c r="F9" s="123">
        <v>518</v>
      </c>
      <c r="G9" s="187">
        <v>0.83771106941838647</v>
      </c>
      <c r="H9" s="191" t="s">
        <v>3478</v>
      </c>
      <c r="J9" s="61" t="s">
        <v>3487</v>
      </c>
      <c r="K9" s="123">
        <v>4357</v>
      </c>
      <c r="L9" s="187">
        <v>0.4422138836772983</v>
      </c>
      <c r="N9" s="123" t="s">
        <v>3737</v>
      </c>
      <c r="O9" s="187">
        <v>0.60564613196192141</v>
      </c>
      <c r="Q9" s="186"/>
      <c r="R9" s="186"/>
      <c r="S9" s="186"/>
      <c r="T9" s="186"/>
      <c r="U9" s="186"/>
      <c r="V9" s="186"/>
    </row>
    <row r="10" spans="1:22" x14ac:dyDescent="0.25">
      <c r="A10" s="123" t="s">
        <v>826</v>
      </c>
      <c r="B10" s="123">
        <v>2186</v>
      </c>
      <c r="C10" s="187">
        <v>-0.60206378986866782</v>
      </c>
      <c r="E10" s="123" t="s">
        <v>827</v>
      </c>
      <c r="F10" s="123">
        <v>10476</v>
      </c>
      <c r="G10" s="187">
        <v>0.8688555347091933</v>
      </c>
      <c r="H10" s="191" t="s">
        <v>3478</v>
      </c>
      <c r="J10" s="61" t="s">
        <v>3485</v>
      </c>
      <c r="K10" s="123">
        <v>123263</v>
      </c>
      <c r="L10" s="187">
        <v>0.50712945590994374</v>
      </c>
      <c r="N10" s="123" t="s">
        <v>3741</v>
      </c>
      <c r="O10" s="187">
        <v>0.60630265893423796</v>
      </c>
      <c r="Q10" s="186"/>
      <c r="R10" s="186"/>
      <c r="S10" s="186"/>
      <c r="T10" s="186"/>
      <c r="U10" s="186"/>
      <c r="V10" s="186"/>
    </row>
    <row r="11" spans="1:22" x14ac:dyDescent="0.25">
      <c r="A11" s="123" t="s">
        <v>830</v>
      </c>
      <c r="B11" s="123">
        <v>23476</v>
      </c>
      <c r="C11" s="187">
        <v>-0.47579737335834899</v>
      </c>
      <c r="E11" s="123" t="s">
        <v>829</v>
      </c>
      <c r="F11" s="123">
        <v>521</v>
      </c>
      <c r="G11" s="187">
        <v>0.83377110694183865</v>
      </c>
      <c r="H11" s="191" t="s">
        <v>3478</v>
      </c>
      <c r="J11" s="61" t="s">
        <v>3483</v>
      </c>
      <c r="K11" s="123">
        <v>10588</v>
      </c>
      <c r="L11" s="187">
        <v>0.59418386491557218</v>
      </c>
      <c r="N11" s="123" t="s">
        <v>3749</v>
      </c>
      <c r="O11" s="187">
        <v>0.50093971297007733</v>
      </c>
      <c r="Q11" s="186"/>
      <c r="R11" s="186"/>
      <c r="S11" s="186"/>
      <c r="T11" s="186"/>
      <c r="U11" s="186"/>
      <c r="V11" s="186"/>
    </row>
    <row r="12" spans="1:22" x14ac:dyDescent="0.25">
      <c r="A12" s="123" t="s">
        <v>832</v>
      </c>
      <c r="B12" s="123">
        <v>1105</v>
      </c>
      <c r="C12" s="187">
        <v>-0.55084427767354605</v>
      </c>
      <c r="E12" s="123" t="s">
        <v>831</v>
      </c>
      <c r="F12" s="123">
        <v>522</v>
      </c>
      <c r="G12" s="187">
        <v>0.77748592870544087</v>
      </c>
      <c r="H12" s="191" t="s">
        <v>3478</v>
      </c>
      <c r="J12" s="61" t="s">
        <v>3488</v>
      </c>
      <c r="K12" s="123">
        <v>5723</v>
      </c>
      <c r="L12" s="187">
        <v>0.42720450281425887</v>
      </c>
      <c r="N12" s="123" t="s">
        <v>3753</v>
      </c>
      <c r="O12" s="187">
        <v>0.51220045956888061</v>
      </c>
      <c r="Q12" s="186"/>
      <c r="R12" s="186"/>
      <c r="S12" s="186"/>
      <c r="T12" s="186"/>
      <c r="U12" s="186"/>
      <c r="V12" s="186"/>
    </row>
    <row r="13" spans="1:22" x14ac:dyDescent="0.25">
      <c r="A13" s="123" t="s">
        <v>836</v>
      </c>
      <c r="B13" s="123">
        <v>84181</v>
      </c>
      <c r="C13" s="187">
        <v>-0.76135084427767352</v>
      </c>
      <c r="E13" s="123" t="s">
        <v>833</v>
      </c>
      <c r="F13" s="123">
        <v>9551</v>
      </c>
      <c r="G13" s="187">
        <v>0.74146341463414633</v>
      </c>
      <c r="H13" s="191" t="s">
        <v>3478</v>
      </c>
      <c r="J13" s="61" t="s">
        <v>3489</v>
      </c>
      <c r="K13" s="123">
        <v>6472</v>
      </c>
      <c r="L13" s="187">
        <v>0.41669793621013135</v>
      </c>
      <c r="N13" s="123" t="s">
        <v>3745</v>
      </c>
      <c r="O13" s="187">
        <v>0.56406609038187983</v>
      </c>
      <c r="Q13" s="186"/>
      <c r="R13" s="186"/>
      <c r="S13" s="186"/>
      <c r="T13" s="186"/>
      <c r="U13" s="186"/>
      <c r="V13" s="186"/>
    </row>
    <row r="14" spans="1:22" x14ac:dyDescent="0.25">
      <c r="A14" s="123" t="s">
        <v>838</v>
      </c>
      <c r="B14" s="123">
        <v>9575</v>
      </c>
      <c r="C14" s="187">
        <v>-0.64202626641651028</v>
      </c>
      <c r="E14" s="123" t="s">
        <v>835</v>
      </c>
      <c r="F14" s="123">
        <v>10632</v>
      </c>
      <c r="G14" s="187">
        <v>0.76791744840525333</v>
      </c>
      <c r="H14" s="191" t="s">
        <v>3478</v>
      </c>
      <c r="N14" s="123" t="s">
        <v>3739</v>
      </c>
      <c r="O14" s="187">
        <v>0.80129116971222236</v>
      </c>
      <c r="Q14" s="186"/>
      <c r="R14" s="186"/>
      <c r="S14" s="186"/>
      <c r="T14" s="186"/>
      <c r="U14" s="186"/>
      <c r="V14" s="186"/>
    </row>
    <row r="15" spans="1:22" x14ac:dyDescent="0.25">
      <c r="A15" s="123" t="s">
        <v>840</v>
      </c>
      <c r="B15" s="123">
        <v>1387</v>
      </c>
      <c r="C15" s="187">
        <v>-0.6311444652908067</v>
      </c>
      <c r="E15" s="123" t="s">
        <v>837</v>
      </c>
      <c r="F15" s="123">
        <v>539</v>
      </c>
      <c r="G15" s="187">
        <v>0.77373358348968102</v>
      </c>
      <c r="H15" s="191" t="s">
        <v>3478</v>
      </c>
      <c r="N15" s="123" t="s">
        <v>3742</v>
      </c>
      <c r="O15" s="187">
        <v>0.41656636393478502</v>
      </c>
      <c r="Q15" s="186"/>
      <c r="R15" s="186"/>
      <c r="S15" s="186"/>
      <c r="T15" s="186"/>
      <c r="U15" s="186"/>
      <c r="V15" s="186"/>
    </row>
    <row r="16" spans="1:22" x14ac:dyDescent="0.25">
      <c r="A16" s="123" t="s">
        <v>842</v>
      </c>
      <c r="B16" s="123">
        <v>23405</v>
      </c>
      <c r="C16" s="187">
        <v>-0.5701688555347092</v>
      </c>
      <c r="E16" s="123" t="s">
        <v>839</v>
      </c>
      <c r="F16" s="123">
        <v>10063</v>
      </c>
      <c r="G16" s="187">
        <v>0.68086303939962467</v>
      </c>
      <c r="H16" s="191" t="s">
        <v>3478</v>
      </c>
      <c r="N16" s="123" t="s">
        <v>3740</v>
      </c>
      <c r="O16" s="187">
        <v>0.63387679177152856</v>
      </c>
      <c r="Q16" s="186"/>
      <c r="R16" s="186"/>
      <c r="S16" s="186"/>
      <c r="T16" s="186"/>
      <c r="U16" s="186"/>
      <c r="V16" s="186"/>
    </row>
    <row r="17" spans="1:22" x14ac:dyDescent="0.25">
      <c r="A17" s="123" t="s">
        <v>844</v>
      </c>
      <c r="B17" s="123">
        <v>192670</v>
      </c>
      <c r="C17" s="187">
        <v>-0.5932457786116323</v>
      </c>
      <c r="E17" s="123" t="s">
        <v>841</v>
      </c>
      <c r="F17" s="123">
        <v>1327</v>
      </c>
      <c r="G17" s="187">
        <v>0.88480300187617267</v>
      </c>
      <c r="H17" s="191" t="s">
        <v>3478</v>
      </c>
      <c r="N17" s="123" t="s">
        <v>3752</v>
      </c>
      <c r="O17" s="187">
        <v>0.6789954597896336</v>
      </c>
      <c r="Q17" s="186"/>
      <c r="R17" s="186"/>
      <c r="S17" s="186"/>
      <c r="T17" s="186"/>
      <c r="U17" s="186"/>
      <c r="V17" s="186"/>
    </row>
    <row r="18" spans="1:22" x14ac:dyDescent="0.25">
      <c r="A18" s="123" t="s">
        <v>846</v>
      </c>
      <c r="B18" s="123">
        <v>2033</v>
      </c>
      <c r="C18" s="187">
        <v>-0.71557223264540337</v>
      </c>
      <c r="E18" s="123" t="s">
        <v>843</v>
      </c>
      <c r="F18" s="123">
        <v>9377</v>
      </c>
      <c r="G18" s="187">
        <v>0.88742964352720455</v>
      </c>
      <c r="H18" s="191" t="s">
        <v>3478</v>
      </c>
      <c r="N18" s="123" t="s">
        <v>3743</v>
      </c>
      <c r="O18" s="187">
        <v>0.59929929700886098</v>
      </c>
      <c r="Q18" s="186"/>
      <c r="R18" s="186"/>
      <c r="S18" s="186"/>
      <c r="T18" s="186"/>
      <c r="U18" s="186"/>
      <c r="V18" s="186"/>
    </row>
    <row r="19" spans="1:22" x14ac:dyDescent="0.25">
      <c r="A19" s="123" t="s">
        <v>848</v>
      </c>
      <c r="B19" s="123">
        <v>80314</v>
      </c>
      <c r="C19" s="187">
        <v>-0.56078799249530953</v>
      </c>
      <c r="E19" s="123" t="s">
        <v>845</v>
      </c>
      <c r="F19" s="123">
        <v>1329</v>
      </c>
      <c r="G19" s="187">
        <v>0.90243902439024393</v>
      </c>
      <c r="H19" s="191" t="s">
        <v>3478</v>
      </c>
      <c r="N19" s="123" t="s">
        <v>3744</v>
      </c>
      <c r="O19" s="187">
        <v>0.52117299485720536</v>
      </c>
      <c r="Q19" s="186"/>
      <c r="R19" s="186"/>
      <c r="S19" s="186"/>
      <c r="T19" s="186"/>
      <c r="U19" s="186"/>
      <c r="V19" s="186"/>
    </row>
    <row r="20" spans="1:22" x14ac:dyDescent="0.25">
      <c r="A20" s="123" t="s">
        <v>850</v>
      </c>
      <c r="B20" s="123">
        <v>2957</v>
      </c>
      <c r="C20" s="187">
        <v>-0.67504690431519698</v>
      </c>
      <c r="E20" s="123" t="s">
        <v>847</v>
      </c>
      <c r="F20" s="123">
        <v>1337</v>
      </c>
      <c r="G20" s="187">
        <v>0.85834896810506567</v>
      </c>
      <c r="H20" s="191" t="s">
        <v>3478</v>
      </c>
      <c r="N20" s="123" t="s">
        <v>3747</v>
      </c>
      <c r="O20" s="187">
        <v>0.54699638910165227</v>
      </c>
      <c r="Q20" s="186"/>
      <c r="R20" s="186"/>
      <c r="S20" s="186"/>
      <c r="T20" s="186"/>
      <c r="U20" s="186"/>
      <c r="V20" s="186"/>
    </row>
    <row r="21" spans="1:22" x14ac:dyDescent="0.25">
      <c r="A21" s="123" t="s">
        <v>852</v>
      </c>
      <c r="B21" s="123">
        <v>2967</v>
      </c>
      <c r="C21" s="187">
        <v>-0.61688555347091933</v>
      </c>
      <c r="E21" s="123" t="s">
        <v>849</v>
      </c>
      <c r="F21" s="123">
        <v>1340</v>
      </c>
      <c r="G21" s="187">
        <v>0.88292682926829269</v>
      </c>
      <c r="H21" s="191" t="s">
        <v>3478</v>
      </c>
      <c r="N21" s="123" t="s">
        <v>3746</v>
      </c>
      <c r="O21" s="187">
        <v>0.6195765178612257</v>
      </c>
      <c r="Q21" s="186"/>
      <c r="R21" s="186"/>
      <c r="S21" s="186"/>
      <c r="T21" s="186"/>
      <c r="U21" s="186"/>
      <c r="V21" s="186"/>
    </row>
    <row r="22" spans="1:22" x14ac:dyDescent="0.25">
      <c r="A22" s="123" t="s">
        <v>854</v>
      </c>
      <c r="B22" s="123">
        <v>9329</v>
      </c>
      <c r="C22" s="187">
        <v>-0.43076923076923074</v>
      </c>
      <c r="E22" s="123" t="s">
        <v>851</v>
      </c>
      <c r="F22" s="123">
        <v>1345</v>
      </c>
      <c r="G22" s="187">
        <v>0.72326454033771104</v>
      </c>
      <c r="H22" s="191" t="s">
        <v>3478</v>
      </c>
      <c r="N22" s="123" t="s">
        <v>3750</v>
      </c>
      <c r="O22" s="187">
        <v>0.52401794507057664</v>
      </c>
      <c r="Q22" s="186"/>
      <c r="R22" s="186"/>
      <c r="S22" s="186"/>
      <c r="T22" s="186"/>
      <c r="U22" s="186"/>
      <c r="V22" s="186"/>
    </row>
    <row r="23" spans="1:22" x14ac:dyDescent="0.25">
      <c r="A23" s="123" t="s">
        <v>858</v>
      </c>
      <c r="B23" s="123">
        <v>23269</v>
      </c>
      <c r="C23" s="187">
        <v>-0.58348968105065668</v>
      </c>
      <c r="E23" s="123" t="s">
        <v>853</v>
      </c>
      <c r="F23" s="123">
        <v>1347</v>
      </c>
      <c r="G23" s="187">
        <v>0.78011257035647286</v>
      </c>
      <c r="H23" s="191" t="s">
        <v>3478</v>
      </c>
      <c r="N23" s="123" t="s">
        <v>3748</v>
      </c>
      <c r="O23" s="187">
        <v>0.68902505744611009</v>
      </c>
      <c r="Q23" s="186"/>
      <c r="R23" s="186"/>
      <c r="S23" s="186"/>
      <c r="T23" s="186"/>
      <c r="U23" s="186"/>
      <c r="V23" s="186"/>
    </row>
    <row r="24" spans="1:22" x14ac:dyDescent="0.25">
      <c r="A24" s="123" t="s">
        <v>860</v>
      </c>
      <c r="B24" s="123">
        <v>8085</v>
      </c>
      <c r="C24" s="187">
        <v>-0.6634146341463415</v>
      </c>
      <c r="E24" s="123" t="s">
        <v>855</v>
      </c>
      <c r="F24" s="123">
        <v>1349</v>
      </c>
      <c r="G24" s="187">
        <v>0.90900562851782363</v>
      </c>
      <c r="H24" s="191" t="s">
        <v>3478</v>
      </c>
      <c r="Q24" s="186"/>
      <c r="R24" s="186"/>
      <c r="S24" s="186"/>
      <c r="T24" s="186"/>
      <c r="U24" s="186"/>
      <c r="V24" s="186"/>
    </row>
    <row r="25" spans="1:22" x14ac:dyDescent="0.25">
      <c r="A25" s="123" t="s">
        <v>766</v>
      </c>
      <c r="B25" s="123">
        <v>58508</v>
      </c>
      <c r="C25" s="187">
        <v>-0.58630393996247654</v>
      </c>
      <c r="E25" s="123" t="s">
        <v>857</v>
      </c>
      <c r="F25" s="123">
        <v>1350</v>
      </c>
      <c r="G25" s="187">
        <v>0.80694183864915581</v>
      </c>
      <c r="H25" s="191" t="s">
        <v>3478</v>
      </c>
      <c r="Q25" s="186"/>
      <c r="R25" s="186"/>
      <c r="S25" s="186"/>
      <c r="T25" s="186"/>
      <c r="U25" s="186"/>
      <c r="V25" s="186"/>
    </row>
    <row r="26" spans="1:22" x14ac:dyDescent="0.25">
      <c r="A26" s="123" t="s">
        <v>863</v>
      </c>
      <c r="B26" s="123">
        <v>55904</v>
      </c>
      <c r="C26" s="187">
        <v>-0.63883677298311448</v>
      </c>
      <c r="E26" s="123" t="s">
        <v>859</v>
      </c>
      <c r="F26" s="123">
        <v>1351</v>
      </c>
      <c r="G26" s="187">
        <v>0.89136960600375237</v>
      </c>
      <c r="H26" s="191" t="s">
        <v>3478</v>
      </c>
      <c r="Q26" s="186"/>
      <c r="R26" s="186"/>
      <c r="S26" s="186"/>
      <c r="T26" s="186"/>
      <c r="U26" s="186"/>
      <c r="V26" s="186"/>
    </row>
    <row r="27" spans="1:22" x14ac:dyDescent="0.25">
      <c r="A27" s="123" t="s">
        <v>865</v>
      </c>
      <c r="B27" s="123">
        <v>114803</v>
      </c>
      <c r="C27" s="187">
        <v>-0.60881801125703561</v>
      </c>
      <c r="E27" s="123" t="s">
        <v>861</v>
      </c>
      <c r="F27" s="123">
        <v>1537</v>
      </c>
      <c r="G27" s="187">
        <v>0.73508442776735461</v>
      </c>
      <c r="H27" s="191" t="s">
        <v>3478</v>
      </c>
      <c r="Q27" s="186"/>
      <c r="R27" s="186"/>
      <c r="S27" s="186"/>
      <c r="T27" s="186"/>
      <c r="U27" s="186"/>
      <c r="V27" s="186"/>
    </row>
    <row r="28" spans="1:22" x14ac:dyDescent="0.25">
      <c r="A28" s="123" t="s">
        <v>868</v>
      </c>
      <c r="B28" s="123">
        <v>7994</v>
      </c>
      <c r="C28" s="187">
        <v>-0.54596622889305813</v>
      </c>
      <c r="E28" s="123" t="s">
        <v>924</v>
      </c>
      <c r="F28" s="123">
        <v>4694</v>
      </c>
      <c r="G28" s="187">
        <v>0.93621013133208253</v>
      </c>
      <c r="H28" s="191" t="s">
        <v>3478</v>
      </c>
      <c r="Q28" s="186"/>
      <c r="R28" s="186"/>
      <c r="S28" s="186"/>
      <c r="T28" s="186"/>
      <c r="U28" s="186"/>
      <c r="V28" s="186"/>
    </row>
    <row r="29" spans="1:22" x14ac:dyDescent="0.25">
      <c r="A29" s="123" t="s">
        <v>870</v>
      </c>
      <c r="B29" s="123">
        <v>23522</v>
      </c>
      <c r="C29" s="187">
        <v>-0.67936210131332087</v>
      </c>
      <c r="E29" s="123" t="s">
        <v>925</v>
      </c>
      <c r="F29" s="123">
        <v>126328</v>
      </c>
      <c r="G29" s="187">
        <v>0.76022514071294556</v>
      </c>
      <c r="H29" s="191" t="s">
        <v>3478</v>
      </c>
      <c r="Q29" s="186"/>
      <c r="R29" s="186"/>
      <c r="S29" s="186"/>
      <c r="T29" s="186"/>
      <c r="U29" s="186"/>
      <c r="V29" s="186"/>
    </row>
    <row r="30" spans="1:22" x14ac:dyDescent="0.25">
      <c r="A30" s="123" t="s">
        <v>872</v>
      </c>
      <c r="B30" s="123">
        <v>8202</v>
      </c>
      <c r="C30" s="187">
        <v>-0.65797373358348965</v>
      </c>
      <c r="E30" s="123" t="s">
        <v>926</v>
      </c>
      <c r="F30" s="123">
        <v>55967</v>
      </c>
      <c r="G30" s="187">
        <v>0.82045028142589116</v>
      </c>
      <c r="H30" s="191" t="s">
        <v>3478</v>
      </c>
      <c r="Q30" s="186"/>
      <c r="R30" s="186"/>
      <c r="S30" s="186"/>
      <c r="T30" s="186"/>
      <c r="U30" s="186"/>
      <c r="V30" s="186"/>
    </row>
    <row r="31" spans="1:22" x14ac:dyDescent="0.25">
      <c r="A31" s="183" t="s">
        <v>17</v>
      </c>
      <c r="B31" s="123">
        <v>55193</v>
      </c>
      <c r="C31" s="187">
        <v>-0.61782363977485932</v>
      </c>
      <c r="E31" s="123" t="s">
        <v>927</v>
      </c>
      <c r="F31" s="123">
        <v>51079</v>
      </c>
      <c r="G31" s="187">
        <v>0.82926829268292679</v>
      </c>
      <c r="H31" s="191" t="s">
        <v>3478</v>
      </c>
      <c r="Q31" s="186"/>
      <c r="R31" s="186"/>
      <c r="S31" s="186"/>
      <c r="T31" s="186"/>
      <c r="U31" s="186"/>
      <c r="V31" s="186"/>
    </row>
    <row r="32" spans="1:22" x14ac:dyDescent="0.25">
      <c r="A32" s="123" t="s">
        <v>877</v>
      </c>
      <c r="B32" s="123">
        <v>5253</v>
      </c>
      <c r="C32" s="187">
        <v>-0.49380863039399625</v>
      </c>
      <c r="E32" s="123" t="s">
        <v>928</v>
      </c>
      <c r="F32" s="123">
        <v>4695</v>
      </c>
      <c r="G32" s="187">
        <v>0.78536585365853662</v>
      </c>
      <c r="H32" s="191" t="s">
        <v>3478</v>
      </c>
      <c r="Q32" s="186"/>
      <c r="R32" s="186"/>
      <c r="S32" s="186"/>
      <c r="T32" s="186"/>
      <c r="U32" s="186"/>
      <c r="V32" s="186"/>
    </row>
    <row r="33" spans="1:8" x14ac:dyDescent="0.25">
      <c r="A33" s="123" t="s">
        <v>879</v>
      </c>
      <c r="B33" s="123">
        <v>51230</v>
      </c>
      <c r="C33" s="187">
        <v>-0.54727954971857407</v>
      </c>
      <c r="E33" s="123" t="s">
        <v>929</v>
      </c>
      <c r="F33" s="123">
        <v>4696</v>
      </c>
      <c r="G33" s="187">
        <v>0.62195121951219512</v>
      </c>
      <c r="H33" s="191" t="s">
        <v>3478</v>
      </c>
    </row>
    <row r="34" spans="1:8" x14ac:dyDescent="0.25">
      <c r="A34" s="123" t="s">
        <v>881</v>
      </c>
      <c r="B34" s="123">
        <v>84295</v>
      </c>
      <c r="C34" s="187">
        <v>-0.71651031894934325</v>
      </c>
      <c r="E34" s="123" t="s">
        <v>930</v>
      </c>
      <c r="F34" s="123">
        <v>4697</v>
      </c>
      <c r="G34" s="187">
        <v>0.87410881801125695</v>
      </c>
      <c r="H34" s="191" t="s">
        <v>3478</v>
      </c>
    </row>
    <row r="35" spans="1:8" x14ac:dyDescent="0.25">
      <c r="A35" s="123" t="s">
        <v>883</v>
      </c>
      <c r="B35" s="123">
        <v>5430</v>
      </c>
      <c r="C35" s="187">
        <v>-0.40581613508442776</v>
      </c>
      <c r="E35" s="123" t="s">
        <v>931</v>
      </c>
      <c r="F35" s="123">
        <v>4700</v>
      </c>
      <c r="G35" s="187">
        <v>0.83283302063789866</v>
      </c>
      <c r="H35" s="191" t="s">
        <v>3478</v>
      </c>
    </row>
    <row r="36" spans="1:8" x14ac:dyDescent="0.25">
      <c r="A36" s="123" t="s">
        <v>885</v>
      </c>
      <c r="B36" s="123">
        <v>11128</v>
      </c>
      <c r="C36" s="187">
        <v>-0.66397748592870542</v>
      </c>
      <c r="E36" s="123" t="s">
        <v>932</v>
      </c>
      <c r="F36" s="123">
        <v>4701</v>
      </c>
      <c r="G36" s="187">
        <v>0.80881801125703567</v>
      </c>
      <c r="H36" s="191" t="s">
        <v>3478</v>
      </c>
    </row>
    <row r="37" spans="1:8" x14ac:dyDescent="0.25">
      <c r="A37" s="123" t="s">
        <v>887</v>
      </c>
      <c r="B37" s="123">
        <v>5929</v>
      </c>
      <c r="C37" s="187">
        <v>-0.51013133208255157</v>
      </c>
      <c r="E37" s="123" t="s">
        <v>933</v>
      </c>
      <c r="F37" s="123">
        <v>4702</v>
      </c>
      <c r="G37" s="187">
        <v>0.82814258911819882</v>
      </c>
      <c r="H37" s="191" t="s">
        <v>3478</v>
      </c>
    </row>
    <row r="38" spans="1:8" x14ac:dyDescent="0.25">
      <c r="A38" s="123" t="s">
        <v>889</v>
      </c>
      <c r="B38" s="123">
        <v>165918</v>
      </c>
      <c r="C38" s="187">
        <v>-0.6097560975609756</v>
      </c>
      <c r="E38" s="123" t="s">
        <v>934</v>
      </c>
      <c r="F38" s="123">
        <v>4704</v>
      </c>
      <c r="G38" s="187">
        <v>0.75309568480300182</v>
      </c>
      <c r="H38" s="191" t="s">
        <v>3478</v>
      </c>
    </row>
    <row r="39" spans="1:8" x14ac:dyDescent="0.25">
      <c r="A39" s="123" t="s">
        <v>893</v>
      </c>
      <c r="B39" s="123">
        <v>6239</v>
      </c>
      <c r="C39" s="187">
        <v>-0.49324577861163221</v>
      </c>
      <c r="E39" s="123" t="s">
        <v>935</v>
      </c>
      <c r="F39" s="123">
        <v>4706</v>
      </c>
      <c r="G39" s="187">
        <v>0.73771106941838649</v>
      </c>
      <c r="H39" s="191" t="s">
        <v>3478</v>
      </c>
    </row>
    <row r="40" spans="1:8" x14ac:dyDescent="0.25">
      <c r="A40" s="123" t="s">
        <v>897</v>
      </c>
      <c r="B40" s="123">
        <v>29072</v>
      </c>
      <c r="C40" s="187">
        <v>-0.54765478424015002</v>
      </c>
      <c r="E40" s="123" t="s">
        <v>936</v>
      </c>
      <c r="F40" s="123">
        <v>4716</v>
      </c>
      <c r="G40" s="187">
        <v>0.75328330206378991</v>
      </c>
      <c r="H40" s="191" t="s">
        <v>3478</v>
      </c>
    </row>
    <row r="41" spans="1:8" x14ac:dyDescent="0.25">
      <c r="A41" s="123" t="s">
        <v>899</v>
      </c>
      <c r="B41" s="123">
        <v>23411</v>
      </c>
      <c r="C41" s="187">
        <v>-0.57767354596622889</v>
      </c>
      <c r="E41" s="123" t="s">
        <v>937</v>
      </c>
      <c r="F41" s="123">
        <v>54539</v>
      </c>
      <c r="G41" s="187">
        <v>0.77617260787992493</v>
      </c>
      <c r="H41" s="191" t="s">
        <v>3478</v>
      </c>
    </row>
    <row r="42" spans="1:8" x14ac:dyDescent="0.25">
      <c r="A42" s="123" t="s">
        <v>901</v>
      </c>
      <c r="B42" s="123">
        <v>8467</v>
      </c>
      <c r="C42" s="187">
        <v>-0.70694183864915572</v>
      </c>
      <c r="E42" s="123" t="s">
        <v>938</v>
      </c>
      <c r="F42" s="123">
        <v>4708</v>
      </c>
      <c r="G42" s="187">
        <v>0.85797373358348972</v>
      </c>
      <c r="H42" s="191" t="s">
        <v>3478</v>
      </c>
    </row>
    <row r="43" spans="1:8" x14ac:dyDescent="0.25">
      <c r="A43" s="123" t="s">
        <v>902</v>
      </c>
      <c r="B43" s="123">
        <v>6599</v>
      </c>
      <c r="C43" s="187">
        <v>-0.7153846153846154</v>
      </c>
      <c r="E43" s="123" t="s">
        <v>939</v>
      </c>
      <c r="F43" s="123">
        <v>4709</v>
      </c>
      <c r="G43" s="187">
        <v>0.7969981238273921</v>
      </c>
      <c r="H43" s="191" t="s">
        <v>3478</v>
      </c>
    </row>
    <row r="44" spans="1:8" x14ac:dyDescent="0.25">
      <c r="A44" s="123" t="s">
        <v>904</v>
      </c>
      <c r="B44" s="123">
        <v>51111</v>
      </c>
      <c r="C44" s="187">
        <v>-0.46266416510318947</v>
      </c>
      <c r="E44" s="123" t="s">
        <v>940</v>
      </c>
      <c r="F44" s="123">
        <v>4710</v>
      </c>
      <c r="G44" s="187">
        <v>0.76547842401500943</v>
      </c>
      <c r="H44" s="191" t="s">
        <v>3478</v>
      </c>
    </row>
    <row r="45" spans="1:8" x14ac:dyDescent="0.25">
      <c r="A45" s="123" t="s">
        <v>908</v>
      </c>
      <c r="B45" s="123">
        <v>6872</v>
      </c>
      <c r="C45" s="187">
        <v>-0.70731707317073167</v>
      </c>
      <c r="E45" s="123" t="s">
        <v>941</v>
      </c>
      <c r="F45" s="123">
        <v>4711</v>
      </c>
      <c r="G45" s="187">
        <v>0.83846153846153837</v>
      </c>
      <c r="H45" s="191" t="s">
        <v>3478</v>
      </c>
    </row>
    <row r="46" spans="1:8" x14ac:dyDescent="0.25">
      <c r="A46" s="123" t="s">
        <v>910</v>
      </c>
      <c r="B46" s="123">
        <v>6873</v>
      </c>
      <c r="C46" s="187">
        <v>-0.68686679174484055</v>
      </c>
      <c r="E46" s="123" t="s">
        <v>942</v>
      </c>
      <c r="F46" s="123">
        <v>4712</v>
      </c>
      <c r="G46" s="187">
        <v>0.64371482176360229</v>
      </c>
      <c r="H46" s="191" t="s">
        <v>3478</v>
      </c>
    </row>
    <row r="47" spans="1:8" x14ac:dyDescent="0.25">
      <c r="A47" s="123" t="s">
        <v>911</v>
      </c>
      <c r="B47" s="123">
        <v>83860</v>
      </c>
      <c r="C47" s="187">
        <v>-0.44258911819887431</v>
      </c>
      <c r="E47" s="123" t="s">
        <v>943</v>
      </c>
      <c r="F47" s="123">
        <v>4713</v>
      </c>
      <c r="G47" s="187">
        <v>0.77879924953095692</v>
      </c>
      <c r="H47" s="191" t="s">
        <v>3478</v>
      </c>
    </row>
    <row r="48" spans="1:8" x14ac:dyDescent="0.25">
      <c r="A48" s="184" t="s">
        <v>913</v>
      </c>
      <c r="B48" s="123">
        <v>54790</v>
      </c>
      <c r="C48" s="187">
        <v>-0.62570356472795496</v>
      </c>
      <c r="E48" s="123" t="s">
        <v>944</v>
      </c>
      <c r="F48" s="123">
        <v>4714</v>
      </c>
      <c r="G48" s="187">
        <v>0.64258911819887432</v>
      </c>
      <c r="H48" s="191" t="s">
        <v>3478</v>
      </c>
    </row>
    <row r="49" spans="1:8" x14ac:dyDescent="0.25">
      <c r="A49" s="184" t="s">
        <v>915</v>
      </c>
      <c r="B49" s="123">
        <v>200424</v>
      </c>
      <c r="C49" s="187">
        <v>-0.61294559099437151</v>
      </c>
      <c r="E49" s="123" t="s">
        <v>945</v>
      </c>
      <c r="F49" s="123">
        <v>4715</v>
      </c>
      <c r="G49" s="187">
        <v>0.79061913696060038</v>
      </c>
      <c r="H49" s="191" t="s">
        <v>3478</v>
      </c>
    </row>
    <row r="50" spans="1:8" x14ac:dyDescent="0.25">
      <c r="A50" s="123" t="s">
        <v>917</v>
      </c>
      <c r="B50" s="123">
        <v>8295</v>
      </c>
      <c r="C50" s="187">
        <v>-0.62420262664165105</v>
      </c>
      <c r="E50" s="123" t="s">
        <v>946</v>
      </c>
      <c r="F50" s="123">
        <v>4717</v>
      </c>
      <c r="G50" s="187">
        <v>0.52870544090056293</v>
      </c>
      <c r="H50" s="191" t="s">
        <v>3478</v>
      </c>
    </row>
    <row r="51" spans="1:8" x14ac:dyDescent="0.25">
      <c r="A51" s="123" t="s">
        <v>921</v>
      </c>
      <c r="B51" s="123">
        <v>7750</v>
      </c>
      <c r="C51" s="187">
        <v>-0.51575984990619128</v>
      </c>
      <c r="E51" s="123" t="s">
        <v>947</v>
      </c>
      <c r="F51" s="123">
        <v>4718</v>
      </c>
      <c r="G51" s="187">
        <v>0.63208255159474669</v>
      </c>
      <c r="H51" s="191" t="s">
        <v>3478</v>
      </c>
    </row>
    <row r="52" spans="1:8" x14ac:dyDescent="0.25">
      <c r="E52" s="123" t="s">
        <v>948</v>
      </c>
      <c r="F52" s="123">
        <v>4722</v>
      </c>
      <c r="G52" s="187">
        <v>0.82495309568480302</v>
      </c>
      <c r="H52" s="191" t="s">
        <v>3478</v>
      </c>
    </row>
    <row r="53" spans="1:8" x14ac:dyDescent="0.25">
      <c r="E53" s="123" t="s">
        <v>949</v>
      </c>
      <c r="F53" s="123">
        <v>4724</v>
      </c>
      <c r="G53" s="187">
        <v>0.67148217636022511</v>
      </c>
      <c r="H53" s="191" t="s">
        <v>3478</v>
      </c>
    </row>
    <row r="54" spans="1:8" x14ac:dyDescent="0.25">
      <c r="E54" s="123" t="s">
        <v>950</v>
      </c>
      <c r="F54" s="123">
        <v>4725</v>
      </c>
      <c r="G54" s="187">
        <v>0.60337711069418387</v>
      </c>
      <c r="H54" s="191" t="s">
        <v>3478</v>
      </c>
    </row>
    <row r="55" spans="1:8" x14ac:dyDescent="0.25">
      <c r="E55" s="123" t="s">
        <v>951</v>
      </c>
      <c r="F55" s="123">
        <v>4726</v>
      </c>
      <c r="G55" s="187">
        <v>0.76960600375234522</v>
      </c>
      <c r="H55" s="191" t="s">
        <v>3478</v>
      </c>
    </row>
    <row r="56" spans="1:8" x14ac:dyDescent="0.25">
      <c r="E56" s="123" t="s">
        <v>952</v>
      </c>
      <c r="F56" s="123">
        <v>374291</v>
      </c>
      <c r="G56" s="187">
        <v>0.85797373358348972</v>
      </c>
      <c r="H56" s="191" t="s">
        <v>3478</v>
      </c>
    </row>
    <row r="57" spans="1:8" x14ac:dyDescent="0.25">
      <c r="E57" s="123" t="s">
        <v>953</v>
      </c>
      <c r="F57" s="123">
        <v>4728</v>
      </c>
      <c r="G57" s="187">
        <v>0.73151969981238274</v>
      </c>
      <c r="H57" s="191" t="s">
        <v>3478</v>
      </c>
    </row>
    <row r="58" spans="1:8" x14ac:dyDescent="0.25">
      <c r="E58" s="123" t="s">
        <v>954</v>
      </c>
      <c r="F58" s="123">
        <v>4723</v>
      </c>
      <c r="G58" s="187">
        <v>0.78555347091932459</v>
      </c>
      <c r="H58" s="191" t="s">
        <v>3478</v>
      </c>
    </row>
    <row r="59" spans="1:8" x14ac:dyDescent="0.25">
      <c r="E59" s="123" t="s">
        <v>955</v>
      </c>
      <c r="F59" s="123">
        <v>4729</v>
      </c>
      <c r="G59" s="187">
        <v>0.80262664165103192</v>
      </c>
      <c r="H59" s="191" t="s">
        <v>3478</v>
      </c>
    </row>
    <row r="60" spans="1:8" x14ac:dyDescent="0.25">
      <c r="E60" s="123" t="s">
        <v>962</v>
      </c>
      <c r="F60" s="123">
        <v>29796</v>
      </c>
      <c r="G60" s="187">
        <v>0.79512195121951224</v>
      </c>
      <c r="H60" s="191" t="s">
        <v>3478</v>
      </c>
    </row>
    <row r="61" spans="1:8" x14ac:dyDescent="0.25">
      <c r="E61" s="123" t="s">
        <v>963</v>
      </c>
      <c r="F61" s="123">
        <v>10975</v>
      </c>
      <c r="G61" s="187">
        <v>0.90562851782363973</v>
      </c>
      <c r="H61" s="191" t="s">
        <v>3478</v>
      </c>
    </row>
    <row r="62" spans="1:8" x14ac:dyDescent="0.25">
      <c r="E62" s="123" t="s">
        <v>964</v>
      </c>
      <c r="F62" s="123">
        <v>7381</v>
      </c>
      <c r="G62" s="187">
        <v>0.79606003752345222</v>
      </c>
      <c r="H62" s="191" t="s">
        <v>3478</v>
      </c>
    </row>
    <row r="63" spans="1:8" x14ac:dyDescent="0.25">
      <c r="E63" s="123" t="s">
        <v>965</v>
      </c>
      <c r="F63" s="123">
        <v>7384</v>
      </c>
      <c r="G63" s="187">
        <v>0.82701688555347097</v>
      </c>
      <c r="H63" s="191" t="s">
        <v>3478</v>
      </c>
    </row>
    <row r="64" spans="1:8" x14ac:dyDescent="0.25">
      <c r="E64" s="123" t="s">
        <v>966</v>
      </c>
      <c r="F64" s="123">
        <v>7386</v>
      </c>
      <c r="G64" s="187">
        <v>0.71275797373358341</v>
      </c>
      <c r="H64" s="191" t="s">
        <v>3478</v>
      </c>
    </row>
    <row r="65" spans="5:8" x14ac:dyDescent="0.25">
      <c r="E65" s="123" t="s">
        <v>967</v>
      </c>
      <c r="F65" s="123">
        <v>7388</v>
      </c>
      <c r="G65" s="187">
        <v>0.52814258911819889</v>
      </c>
      <c r="H65" s="191" t="s">
        <v>3478</v>
      </c>
    </row>
    <row r="66" spans="5:8" x14ac:dyDescent="0.25">
      <c r="E66" s="123" t="s">
        <v>968</v>
      </c>
      <c r="F66" s="123">
        <v>440567</v>
      </c>
      <c r="G66" s="187">
        <v>0.50900562851782372</v>
      </c>
      <c r="H66" s="191" t="s">
        <v>3478</v>
      </c>
    </row>
    <row r="67" spans="5:8" x14ac:dyDescent="0.25">
      <c r="E67" s="123" t="s">
        <v>969</v>
      </c>
      <c r="F67" s="123">
        <v>27089</v>
      </c>
      <c r="G67" s="187">
        <v>0.81913696060037533</v>
      </c>
      <c r="H67" s="191" t="s">
        <v>3478</v>
      </c>
    </row>
    <row r="68" spans="5:8" x14ac:dyDescent="0.25">
      <c r="E68" s="123" t="s">
        <v>956</v>
      </c>
      <c r="F68" s="123">
        <v>26519</v>
      </c>
      <c r="G68" s="187">
        <v>0.59230769230769231</v>
      </c>
      <c r="H68" s="191" t="s">
        <v>3480</v>
      </c>
    </row>
    <row r="69" spans="5:8" x14ac:dyDescent="0.25">
      <c r="E69" s="123" t="s">
        <v>957</v>
      </c>
      <c r="F69" s="123">
        <v>26517</v>
      </c>
      <c r="G69" s="187">
        <v>0.71013133208255164</v>
      </c>
      <c r="H69" s="191" t="s">
        <v>3480</v>
      </c>
    </row>
    <row r="70" spans="5:8" x14ac:dyDescent="0.25">
      <c r="E70" s="123" t="s">
        <v>958</v>
      </c>
      <c r="F70" s="123">
        <v>51025</v>
      </c>
      <c r="G70" s="187">
        <v>0.4954971857410882</v>
      </c>
      <c r="H70" s="191" t="s">
        <v>3480</v>
      </c>
    </row>
    <row r="71" spans="5:8" x14ac:dyDescent="0.25">
      <c r="E71" s="123" t="s">
        <v>959</v>
      </c>
      <c r="F71" s="123">
        <v>10245</v>
      </c>
      <c r="G71" s="187">
        <v>0.60750469043151967</v>
      </c>
      <c r="H71" s="191" t="s">
        <v>3480</v>
      </c>
    </row>
    <row r="72" spans="5:8" x14ac:dyDescent="0.25">
      <c r="E72" s="123" t="s">
        <v>960</v>
      </c>
      <c r="F72" s="123">
        <v>92609</v>
      </c>
      <c r="G72" s="187">
        <v>0.72833020637898682</v>
      </c>
      <c r="H72" s="191" t="s">
        <v>3480</v>
      </c>
    </row>
    <row r="73" spans="5:8" x14ac:dyDescent="0.25">
      <c r="E73" s="123" t="s">
        <v>961</v>
      </c>
      <c r="F73" s="123">
        <v>26521</v>
      </c>
      <c r="G73" s="187">
        <v>0.49399624765478428</v>
      </c>
      <c r="H73" s="191" t="s">
        <v>3480</v>
      </c>
    </row>
    <row r="74" spans="5:8" x14ac:dyDescent="0.25">
      <c r="E74" s="123" t="s">
        <v>862</v>
      </c>
      <c r="F74" s="123">
        <v>6182</v>
      </c>
      <c r="G74" s="187">
        <v>0.80318949343339596</v>
      </c>
      <c r="H74" s="191" t="s">
        <v>3479</v>
      </c>
    </row>
    <row r="75" spans="5:8" x14ac:dyDescent="0.25">
      <c r="E75" s="123" t="s">
        <v>864</v>
      </c>
      <c r="F75" s="123">
        <v>64928</v>
      </c>
      <c r="G75" s="187">
        <v>0.50112570356472796</v>
      </c>
      <c r="H75" s="191" t="s">
        <v>3479</v>
      </c>
    </row>
    <row r="76" spans="5:8" x14ac:dyDescent="0.25">
      <c r="E76" s="123" t="s">
        <v>866</v>
      </c>
      <c r="F76" s="123">
        <v>51069</v>
      </c>
      <c r="G76" s="187">
        <v>0.69099437148217635</v>
      </c>
      <c r="H76" s="191" t="s">
        <v>3479</v>
      </c>
    </row>
    <row r="77" spans="5:8" x14ac:dyDescent="0.25">
      <c r="E77" s="123" t="s">
        <v>869</v>
      </c>
      <c r="F77" s="123">
        <v>219927</v>
      </c>
      <c r="G77" s="187">
        <v>0.60750469043151967</v>
      </c>
      <c r="H77" s="191" t="s">
        <v>3479</v>
      </c>
    </row>
    <row r="78" spans="5:8" x14ac:dyDescent="0.25">
      <c r="E78" s="123" t="s">
        <v>871</v>
      </c>
      <c r="F78" s="123">
        <v>29093</v>
      </c>
      <c r="G78" s="187">
        <v>0.75553470919324572</v>
      </c>
      <c r="H78" s="191" t="s">
        <v>3479</v>
      </c>
    </row>
    <row r="79" spans="5:8" x14ac:dyDescent="0.25">
      <c r="E79" s="123" t="s">
        <v>873</v>
      </c>
      <c r="F79" s="123">
        <v>6150</v>
      </c>
      <c r="G79" s="187">
        <v>0.61557223264540339</v>
      </c>
      <c r="H79" s="191" t="s">
        <v>3479</v>
      </c>
    </row>
    <row r="80" spans="5:8" x14ac:dyDescent="0.25">
      <c r="E80" s="123" t="s">
        <v>874</v>
      </c>
      <c r="F80" s="123">
        <v>79590</v>
      </c>
      <c r="G80" s="187">
        <v>0.40994371482176362</v>
      </c>
      <c r="H80" s="191" t="s">
        <v>3479</v>
      </c>
    </row>
    <row r="81" spans="5:8" x14ac:dyDescent="0.25">
      <c r="E81" s="123" t="s">
        <v>876</v>
      </c>
      <c r="F81" s="123">
        <v>51264</v>
      </c>
      <c r="G81" s="187">
        <v>0.78011257035647286</v>
      </c>
      <c r="H81" s="191" t="s">
        <v>3479</v>
      </c>
    </row>
    <row r="82" spans="5:8" x14ac:dyDescent="0.25">
      <c r="E82" s="123" t="s">
        <v>878</v>
      </c>
      <c r="F82" s="123">
        <v>10573</v>
      </c>
      <c r="G82" s="187">
        <v>0.63170731707317074</v>
      </c>
      <c r="H82" s="191" t="s">
        <v>3479</v>
      </c>
    </row>
    <row r="83" spans="5:8" x14ac:dyDescent="0.25">
      <c r="E83" s="123" t="s">
        <v>880</v>
      </c>
      <c r="F83" s="123">
        <v>64981</v>
      </c>
      <c r="G83" s="187">
        <v>0.7632270168855535</v>
      </c>
      <c r="H83" s="191" t="s">
        <v>3479</v>
      </c>
    </row>
    <row r="84" spans="5:8" x14ac:dyDescent="0.25">
      <c r="E84" s="123" t="s">
        <v>882</v>
      </c>
      <c r="F84" s="123">
        <v>64979</v>
      </c>
      <c r="G84" s="187">
        <v>0.66153846153846163</v>
      </c>
      <c r="H84" s="191" t="s">
        <v>3479</v>
      </c>
    </row>
    <row r="85" spans="5:8" x14ac:dyDescent="0.25">
      <c r="E85" s="123" t="s">
        <v>884</v>
      </c>
      <c r="F85" s="123">
        <v>64978</v>
      </c>
      <c r="G85" s="187">
        <v>0.73508442776735461</v>
      </c>
      <c r="H85" s="191" t="s">
        <v>3479</v>
      </c>
    </row>
    <row r="86" spans="5:8" x14ac:dyDescent="0.25">
      <c r="E86" s="123" t="s">
        <v>886</v>
      </c>
      <c r="F86" s="123">
        <v>64976</v>
      </c>
      <c r="G86" s="187">
        <v>0.68949343339587243</v>
      </c>
      <c r="H86" s="191" t="s">
        <v>3479</v>
      </c>
    </row>
    <row r="87" spans="5:8" x14ac:dyDescent="0.25">
      <c r="E87" s="123" t="s">
        <v>888</v>
      </c>
      <c r="F87" s="123">
        <v>64975</v>
      </c>
      <c r="G87" s="187">
        <v>0.79887429643527208</v>
      </c>
      <c r="H87" s="191" t="s">
        <v>3479</v>
      </c>
    </row>
    <row r="88" spans="5:8" x14ac:dyDescent="0.25">
      <c r="E88" s="123" t="s">
        <v>890</v>
      </c>
      <c r="F88" s="123">
        <v>84545</v>
      </c>
      <c r="G88" s="187">
        <v>0.47598499061913696</v>
      </c>
      <c r="H88" s="191" t="s">
        <v>3479</v>
      </c>
    </row>
    <row r="89" spans="5:8" x14ac:dyDescent="0.25">
      <c r="E89" s="123" t="s">
        <v>892</v>
      </c>
      <c r="F89" s="123">
        <v>57129</v>
      </c>
      <c r="G89" s="187">
        <v>0.69699812382739212</v>
      </c>
      <c r="H89" s="191" t="s">
        <v>3479</v>
      </c>
    </row>
    <row r="90" spans="5:8" x14ac:dyDescent="0.25">
      <c r="E90" s="123" t="s">
        <v>894</v>
      </c>
      <c r="F90" s="123">
        <v>51258</v>
      </c>
      <c r="G90" s="187">
        <v>0.40243902439024393</v>
      </c>
      <c r="H90" s="191" t="s">
        <v>3479</v>
      </c>
    </row>
    <row r="91" spans="5:8" x14ac:dyDescent="0.25">
      <c r="E91" s="123" t="s">
        <v>896</v>
      </c>
      <c r="F91" s="123">
        <v>122704</v>
      </c>
      <c r="G91" s="187">
        <v>0.47129455909943713</v>
      </c>
      <c r="H91" s="191" t="s">
        <v>3479</v>
      </c>
    </row>
    <row r="92" spans="5:8" x14ac:dyDescent="0.25">
      <c r="E92" s="123" t="s">
        <v>898</v>
      </c>
      <c r="F92" s="123">
        <v>116540</v>
      </c>
      <c r="G92" s="187">
        <v>0.47335834896810508</v>
      </c>
      <c r="H92" s="191" t="s">
        <v>3479</v>
      </c>
    </row>
    <row r="93" spans="5:8" x14ac:dyDescent="0.25">
      <c r="E93" s="123" t="s">
        <v>900</v>
      </c>
      <c r="F93" s="123">
        <v>116541</v>
      </c>
      <c r="G93" s="187">
        <v>0.71819887429643525</v>
      </c>
      <c r="H93" s="191" t="s">
        <v>3479</v>
      </c>
    </row>
    <row r="94" spans="5:8" x14ac:dyDescent="0.25">
      <c r="E94" s="123" t="s">
        <v>903</v>
      </c>
      <c r="F94" s="123">
        <v>64963</v>
      </c>
      <c r="G94" s="187">
        <v>0.84352720450281427</v>
      </c>
      <c r="H94" s="191" t="s">
        <v>3479</v>
      </c>
    </row>
    <row r="95" spans="5:8" x14ac:dyDescent="0.25">
      <c r="E95" s="123" t="s">
        <v>905</v>
      </c>
      <c r="F95" s="123">
        <v>6183</v>
      </c>
      <c r="G95" s="187">
        <v>0.77335834896810507</v>
      </c>
      <c r="H95" s="191" t="s">
        <v>3479</v>
      </c>
    </row>
    <row r="96" spans="5:8" x14ac:dyDescent="0.25">
      <c r="E96" s="123" t="s">
        <v>907</v>
      </c>
      <c r="F96" s="123">
        <v>64960</v>
      </c>
      <c r="G96" s="187">
        <v>0.57598499061913699</v>
      </c>
      <c r="H96" s="191" t="s">
        <v>3479</v>
      </c>
    </row>
    <row r="97" spans="5:8" x14ac:dyDescent="0.25">
      <c r="E97" s="123" t="s">
        <v>909</v>
      </c>
      <c r="F97" s="123">
        <v>51021</v>
      </c>
      <c r="G97" s="187">
        <v>0.44634146341463415</v>
      </c>
      <c r="H97" s="191" t="s">
        <v>3479</v>
      </c>
    </row>
    <row r="98" spans="5:8" x14ac:dyDescent="0.25">
      <c r="E98" s="123" t="s">
        <v>912</v>
      </c>
      <c r="F98" s="123">
        <v>64951</v>
      </c>
      <c r="G98" s="187">
        <v>0.82514071294559099</v>
      </c>
      <c r="H98" s="191" t="s">
        <v>3479</v>
      </c>
    </row>
    <row r="99" spans="5:8" x14ac:dyDescent="0.25">
      <c r="E99" s="123" t="s">
        <v>914</v>
      </c>
      <c r="F99" s="123">
        <v>64432</v>
      </c>
      <c r="G99" s="187">
        <v>0.55084427767354605</v>
      </c>
      <c r="H99" s="191" t="s">
        <v>3479</v>
      </c>
    </row>
    <row r="100" spans="5:8" x14ac:dyDescent="0.25">
      <c r="E100" s="123" t="s">
        <v>916</v>
      </c>
      <c r="F100" s="123">
        <v>51650</v>
      </c>
      <c r="G100" s="187">
        <v>0.58930581613508448</v>
      </c>
      <c r="H100" s="191" t="s">
        <v>3479</v>
      </c>
    </row>
    <row r="101" spans="5:8" x14ac:dyDescent="0.25">
      <c r="E101" s="123" t="s">
        <v>918</v>
      </c>
      <c r="F101" s="123">
        <v>65993</v>
      </c>
      <c r="G101" s="187">
        <v>0.69568480300187618</v>
      </c>
      <c r="H101" s="191" t="s">
        <v>3479</v>
      </c>
    </row>
    <row r="102" spans="5:8" x14ac:dyDescent="0.25">
      <c r="E102" s="123" t="s">
        <v>920</v>
      </c>
      <c r="F102" s="123">
        <v>92259</v>
      </c>
      <c r="G102" s="187">
        <v>0.79193245778611632</v>
      </c>
      <c r="H102" s="191" t="s">
        <v>3479</v>
      </c>
    </row>
    <row r="103" spans="5:8" x14ac:dyDescent="0.25">
      <c r="E103" s="123" t="s">
        <v>922</v>
      </c>
      <c r="F103" s="123">
        <v>64969</v>
      </c>
      <c r="G103" s="187">
        <v>0.84221388367729821</v>
      </c>
      <c r="H103" s="191" t="s">
        <v>3479</v>
      </c>
    </row>
    <row r="104" spans="5:8" x14ac:dyDescent="0.25">
      <c r="E104" s="123" t="s">
        <v>923</v>
      </c>
      <c r="F104" s="123">
        <v>51081</v>
      </c>
      <c r="G104" s="187">
        <v>0.77354596622889304</v>
      </c>
      <c r="H104" s="191" t="s">
        <v>3479</v>
      </c>
    </row>
    <row r="105" spans="5:8" x14ac:dyDescent="0.25">
      <c r="E105" s="61" t="s">
        <v>3467</v>
      </c>
      <c r="F105" s="123">
        <v>50</v>
      </c>
      <c r="G105" s="187">
        <v>0.675797373358349</v>
      </c>
      <c r="H105" s="190" t="s">
        <v>3477</v>
      </c>
    </row>
    <row r="106" spans="5:8" x14ac:dyDescent="0.25">
      <c r="E106" s="61" t="s">
        <v>3468</v>
      </c>
      <c r="F106" s="123">
        <v>1738</v>
      </c>
      <c r="G106" s="187">
        <v>0.47636022514071297</v>
      </c>
      <c r="H106" s="190" t="s">
        <v>3477</v>
      </c>
    </row>
    <row r="107" spans="5:8" x14ac:dyDescent="0.25">
      <c r="E107" s="61" t="s">
        <v>3469</v>
      </c>
      <c r="F107" s="123">
        <v>2271</v>
      </c>
      <c r="G107" s="187">
        <v>0.47879924953095682</v>
      </c>
      <c r="H107" s="190" t="s">
        <v>3477</v>
      </c>
    </row>
    <row r="108" spans="5:8" x14ac:dyDescent="0.25">
      <c r="E108" s="61" t="s">
        <v>747</v>
      </c>
      <c r="F108" s="123">
        <v>3418</v>
      </c>
      <c r="G108" s="187">
        <v>0.55309568480300186</v>
      </c>
      <c r="H108" s="190" t="s">
        <v>3477</v>
      </c>
    </row>
    <row r="109" spans="5:8" x14ac:dyDescent="0.25">
      <c r="E109" s="61" t="s">
        <v>3470</v>
      </c>
      <c r="F109" s="123">
        <v>3419</v>
      </c>
      <c r="G109" s="187">
        <v>0.50056285178236404</v>
      </c>
      <c r="H109" s="190" t="s">
        <v>3477</v>
      </c>
    </row>
    <row r="110" spans="5:8" x14ac:dyDescent="0.25">
      <c r="E110" s="61" t="s">
        <v>3471</v>
      </c>
      <c r="F110" s="123">
        <v>3420</v>
      </c>
      <c r="G110" s="187">
        <v>0.67392120075046902</v>
      </c>
      <c r="H110" s="190" t="s">
        <v>3477</v>
      </c>
    </row>
    <row r="111" spans="5:8" x14ac:dyDescent="0.25">
      <c r="E111" s="61" t="s">
        <v>3472</v>
      </c>
      <c r="F111" s="123">
        <v>4190</v>
      </c>
      <c r="G111" s="187">
        <v>0.61257035647279545</v>
      </c>
      <c r="H111" s="190" t="s">
        <v>3477</v>
      </c>
    </row>
    <row r="112" spans="5:8" x14ac:dyDescent="0.25">
      <c r="E112" s="61" t="s">
        <v>3473</v>
      </c>
      <c r="F112" s="123">
        <v>4191</v>
      </c>
      <c r="G112" s="187">
        <v>0.7343339587242026</v>
      </c>
      <c r="H112" s="190" t="s">
        <v>3477</v>
      </c>
    </row>
    <row r="113" spans="5:8" x14ac:dyDescent="0.25">
      <c r="E113" s="61" t="s">
        <v>3474</v>
      </c>
      <c r="F113" s="123">
        <v>644096</v>
      </c>
      <c r="G113" s="187">
        <v>0.46191369606003752</v>
      </c>
      <c r="H113" s="190" t="s">
        <v>3477</v>
      </c>
    </row>
    <row r="114" spans="5:8" x14ac:dyDescent="0.25">
      <c r="E114" s="61" t="s">
        <v>3475</v>
      </c>
      <c r="F114" s="123">
        <v>8802</v>
      </c>
      <c r="G114" s="187">
        <v>0.78949343339587241</v>
      </c>
      <c r="H114" s="190" t="s">
        <v>3477</v>
      </c>
    </row>
    <row r="115" spans="5:8" x14ac:dyDescent="0.25">
      <c r="E115" s="61" t="s">
        <v>3476</v>
      </c>
      <c r="F115" s="123">
        <v>8801</v>
      </c>
      <c r="G115" s="187">
        <v>0.43827392120075048</v>
      </c>
      <c r="H115" s="190" t="s">
        <v>3477</v>
      </c>
    </row>
  </sheetData>
  <sortState ref="Q4:R24">
    <sortCondition ref="Q8"/>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A2" sqref="A2"/>
    </sheetView>
  </sheetViews>
  <sheetFormatPr defaultRowHeight="15" x14ac:dyDescent="0.25"/>
  <cols>
    <col min="1" max="1" width="14.28515625" style="123" customWidth="1"/>
    <col min="2" max="16384" width="9.140625" style="123"/>
  </cols>
  <sheetData>
    <row r="1" spans="1:10" s="2" customFormat="1" x14ac:dyDescent="0.25">
      <c r="A1" s="1" t="s">
        <v>3766</v>
      </c>
      <c r="C1" s="3"/>
      <c r="D1" s="4"/>
      <c r="E1" s="4"/>
      <c r="G1" s="5"/>
      <c r="H1" s="6"/>
    </row>
    <row r="2" spans="1:10" ht="30" x14ac:dyDescent="0.25">
      <c r="A2" s="143" t="s">
        <v>3451</v>
      </c>
      <c r="B2" s="135" t="s">
        <v>3437</v>
      </c>
      <c r="C2" s="135" t="s">
        <v>3438</v>
      </c>
      <c r="D2" s="135" t="s">
        <v>3439</v>
      </c>
      <c r="E2" s="135" t="s">
        <v>3440</v>
      </c>
      <c r="F2" s="135" t="s">
        <v>3441</v>
      </c>
      <c r="G2" s="135" t="s">
        <v>3456</v>
      </c>
      <c r="H2" s="158" t="s">
        <v>3457</v>
      </c>
      <c r="I2" s="135" t="s">
        <v>3458</v>
      </c>
      <c r="J2" s="135" t="s">
        <v>3459</v>
      </c>
    </row>
    <row r="3" spans="1:10" x14ac:dyDescent="0.25">
      <c r="A3" s="143" t="s">
        <v>430</v>
      </c>
      <c r="B3" s="142" t="s">
        <v>3446</v>
      </c>
      <c r="C3" s="142" t="s">
        <v>3447</v>
      </c>
      <c r="D3" s="142" t="s">
        <v>3448</v>
      </c>
      <c r="E3" s="142" t="s">
        <v>3448</v>
      </c>
      <c r="F3" s="142" t="s">
        <v>549</v>
      </c>
      <c r="G3" s="142" t="s">
        <v>3450</v>
      </c>
      <c r="H3" s="159"/>
    </row>
    <row r="4" spans="1:10" ht="15.75" thickBot="1" x14ac:dyDescent="0.3">
      <c r="A4" s="143" t="s">
        <v>3449</v>
      </c>
      <c r="B4" s="146">
        <v>135</v>
      </c>
      <c r="C4" s="146">
        <v>102</v>
      </c>
      <c r="D4" s="146">
        <v>55</v>
      </c>
      <c r="E4" s="146">
        <v>64</v>
      </c>
      <c r="F4" s="146">
        <v>70</v>
      </c>
      <c r="G4" s="146">
        <v>32</v>
      </c>
      <c r="H4" s="160">
        <v>458</v>
      </c>
      <c r="I4" s="145">
        <v>153</v>
      </c>
      <c r="J4" s="145">
        <v>196</v>
      </c>
    </row>
    <row r="5" spans="1:10" s="171" customFormat="1" x14ac:dyDescent="0.25">
      <c r="A5" s="163" t="s">
        <v>13</v>
      </c>
      <c r="B5" s="169">
        <v>0.22222222222222221</v>
      </c>
      <c r="C5" s="167">
        <v>0.38</v>
      </c>
      <c r="D5" s="170">
        <v>0.28999999999999998</v>
      </c>
      <c r="E5" s="166">
        <v>6.25E-2</v>
      </c>
      <c r="F5" s="166">
        <v>8.5714285714285715E-2</v>
      </c>
      <c r="G5" s="165">
        <v>6.25E-2</v>
      </c>
      <c r="H5" s="161">
        <v>0.21115720524017467</v>
      </c>
      <c r="I5" s="157">
        <v>0.7</v>
      </c>
      <c r="J5" s="157">
        <v>0.31</v>
      </c>
    </row>
    <row r="6" spans="1:10" x14ac:dyDescent="0.25">
      <c r="A6" s="1" t="s">
        <v>3444</v>
      </c>
      <c r="B6" s="141">
        <v>0.27407407407407408</v>
      </c>
      <c r="C6" s="140">
        <v>0.18</v>
      </c>
      <c r="D6" s="141">
        <v>0.22</v>
      </c>
      <c r="E6" s="150">
        <v>0.109375</v>
      </c>
      <c r="F6" s="150">
        <v>0.22857142857142856</v>
      </c>
      <c r="G6" s="149">
        <v>3.125E-2</v>
      </c>
      <c r="H6" s="162">
        <v>0.19969432314410479</v>
      </c>
      <c r="I6" s="168">
        <v>0.91503267973856206</v>
      </c>
      <c r="J6" s="168">
        <v>1.5306122448979591E-2</v>
      </c>
    </row>
    <row r="7" spans="1:10" x14ac:dyDescent="0.25">
      <c r="A7" s="137" t="s">
        <v>3443</v>
      </c>
      <c r="B7" s="141">
        <v>9.6296296296296297E-2</v>
      </c>
      <c r="C7" s="149">
        <v>0.05</v>
      </c>
      <c r="D7" s="147">
        <v>0.24</v>
      </c>
      <c r="E7" s="150">
        <v>0.203125</v>
      </c>
      <c r="F7" s="150">
        <v>0.2</v>
      </c>
      <c r="G7" s="151">
        <v>0.1875</v>
      </c>
      <c r="H7" s="162">
        <v>0.14039301310043667</v>
      </c>
      <c r="I7" s="144">
        <v>0</v>
      </c>
      <c r="J7" s="144">
        <v>0.03</v>
      </c>
    </row>
    <row r="8" spans="1:10" x14ac:dyDescent="0.25">
      <c r="A8" s="104" t="s">
        <v>18</v>
      </c>
      <c r="B8" s="147">
        <v>0.17037037037037037</v>
      </c>
      <c r="C8" s="148">
        <v>7.0000000000000007E-2</v>
      </c>
      <c r="D8" s="147">
        <v>0.2</v>
      </c>
      <c r="E8" s="154">
        <v>0.140625</v>
      </c>
      <c r="F8" s="154">
        <v>0.11428571428571428</v>
      </c>
      <c r="G8" s="155">
        <v>0.15625</v>
      </c>
      <c r="H8" s="162">
        <v>0.13786026200873364</v>
      </c>
      <c r="I8" s="144">
        <v>0.05</v>
      </c>
      <c r="J8" s="144">
        <v>7.0000000000000007E-2</v>
      </c>
    </row>
    <row r="9" spans="1:10" s="2" customFormat="1" x14ac:dyDescent="0.25">
      <c r="A9" s="1" t="s">
        <v>16</v>
      </c>
      <c r="B9" s="141">
        <v>0.1037037037037037</v>
      </c>
      <c r="C9" s="149">
        <v>0.01</v>
      </c>
      <c r="D9" s="141">
        <v>0.05</v>
      </c>
      <c r="E9" s="150">
        <v>0.203125</v>
      </c>
      <c r="F9" s="150">
        <v>0.14285714285714285</v>
      </c>
      <c r="G9" s="152">
        <v>0.375</v>
      </c>
      <c r="H9" s="162">
        <v>0.11521834061135371</v>
      </c>
      <c r="I9" s="168">
        <v>0.01</v>
      </c>
      <c r="J9" s="168">
        <v>0.05</v>
      </c>
    </row>
    <row r="10" spans="1:10" x14ac:dyDescent="0.25">
      <c r="A10" s="104" t="s">
        <v>17</v>
      </c>
      <c r="B10" s="141">
        <v>8.8888888888888892E-2</v>
      </c>
      <c r="C10" s="153">
        <v>0.01</v>
      </c>
      <c r="D10" s="147">
        <v>7.0000000000000007E-2</v>
      </c>
      <c r="E10" s="154">
        <v>0.125</v>
      </c>
      <c r="F10" s="150">
        <v>0.14285714285714285</v>
      </c>
      <c r="G10" s="148">
        <v>0.25</v>
      </c>
      <c r="H10" s="162">
        <v>9.3602620087336261E-2</v>
      </c>
      <c r="I10" s="144">
        <v>0.03</v>
      </c>
      <c r="J10" s="144">
        <v>0.02</v>
      </c>
    </row>
    <row r="11" spans="1:10" x14ac:dyDescent="0.25">
      <c r="A11" s="164" t="s">
        <v>393</v>
      </c>
      <c r="B11" s="141">
        <v>4.4444444444444446E-2</v>
      </c>
      <c r="C11" s="139" t="s">
        <v>3442</v>
      </c>
      <c r="D11" s="141">
        <v>0.05</v>
      </c>
      <c r="E11" s="139" t="s">
        <v>3442</v>
      </c>
      <c r="F11" s="139" t="s">
        <v>3442</v>
      </c>
      <c r="G11" s="151">
        <v>0.15625</v>
      </c>
      <c r="H11" s="162">
        <v>6.1936936936936936E-2</v>
      </c>
      <c r="I11" s="168">
        <v>0</v>
      </c>
      <c r="J11" s="168">
        <v>0.01</v>
      </c>
    </row>
    <row r="12" spans="1:10" x14ac:dyDescent="0.25">
      <c r="A12" s="104" t="s">
        <v>787</v>
      </c>
      <c r="B12" s="147">
        <v>8.8888888888888892E-2</v>
      </c>
      <c r="C12" s="148">
        <v>0.03</v>
      </c>
      <c r="D12" s="147">
        <v>0.05</v>
      </c>
      <c r="E12" s="154">
        <v>3.125E-2</v>
      </c>
      <c r="F12" s="154">
        <v>5.7142857142857141E-2</v>
      </c>
      <c r="G12" s="155">
        <v>6.25E-2</v>
      </c>
      <c r="H12" s="162">
        <v>5.6353711790393016E-2</v>
      </c>
      <c r="I12" s="144">
        <v>0.03</v>
      </c>
      <c r="J12" s="144">
        <v>3.5714285714285712E-2</v>
      </c>
    </row>
    <row r="13" spans="1:10" x14ac:dyDescent="0.25">
      <c r="A13" s="104" t="s">
        <v>793</v>
      </c>
      <c r="B13" s="140">
        <v>0</v>
      </c>
      <c r="C13" s="148">
        <v>7.0000000000000007E-2</v>
      </c>
      <c r="D13" s="147">
        <v>0.05</v>
      </c>
      <c r="E13" s="154">
        <v>3.125E-2</v>
      </c>
      <c r="F13" s="154">
        <v>1.4285714285714285E-2</v>
      </c>
      <c r="G13" s="155">
        <v>3.125E-2</v>
      </c>
      <c r="H13" s="162">
        <v>3.0327510917030568E-2</v>
      </c>
      <c r="I13" s="144">
        <v>0</v>
      </c>
      <c r="J13" s="144">
        <v>0.03</v>
      </c>
    </row>
    <row r="14" spans="1:10" x14ac:dyDescent="0.25">
      <c r="A14" s="104" t="s">
        <v>401</v>
      </c>
      <c r="B14" s="140">
        <v>0</v>
      </c>
      <c r="C14" s="151">
        <v>0.01</v>
      </c>
      <c r="D14" s="147">
        <v>0.05</v>
      </c>
      <c r="E14" s="140">
        <v>0</v>
      </c>
      <c r="F14" s="140">
        <v>4.2857142857142858E-2</v>
      </c>
      <c r="G14" s="140">
        <v>3.125E-2</v>
      </c>
      <c r="H14" s="162">
        <v>1.6965065502183404E-2</v>
      </c>
      <c r="I14" s="144">
        <v>0.01</v>
      </c>
      <c r="J14" s="144">
        <v>0</v>
      </c>
    </row>
    <row r="15" spans="1:10" x14ac:dyDescent="0.25">
      <c r="A15" s="104" t="s">
        <v>402</v>
      </c>
      <c r="B15" s="140">
        <v>0</v>
      </c>
      <c r="C15" s="151">
        <v>0.01</v>
      </c>
      <c r="D15" s="136" t="s">
        <v>3442</v>
      </c>
      <c r="E15" s="140">
        <v>0.03</v>
      </c>
      <c r="F15" s="139" t="s">
        <v>3442</v>
      </c>
      <c r="G15" s="140">
        <v>6.25E-2</v>
      </c>
      <c r="H15" s="162">
        <v>1.4834834834834833E-2</v>
      </c>
      <c r="I15" s="144">
        <v>0</v>
      </c>
      <c r="J15" s="144">
        <v>0</v>
      </c>
    </row>
    <row r="16" spans="1:10" x14ac:dyDescent="0.25">
      <c r="A16" s="104" t="s">
        <v>3445</v>
      </c>
      <c r="B16" s="147">
        <v>7.4074074074074077E-3</v>
      </c>
      <c r="C16" s="155">
        <v>0.05</v>
      </c>
      <c r="D16" s="140">
        <v>0</v>
      </c>
      <c r="E16" s="140">
        <v>0</v>
      </c>
      <c r="F16" s="140">
        <v>0</v>
      </c>
      <c r="G16" s="140">
        <v>0</v>
      </c>
      <c r="H16" s="162">
        <v>1.331877729257642E-2</v>
      </c>
      <c r="I16" s="144">
        <v>0.01</v>
      </c>
      <c r="J16" s="144">
        <v>0.06</v>
      </c>
    </row>
    <row r="17" spans="1:10" x14ac:dyDescent="0.25">
      <c r="A17" s="104" t="s">
        <v>3452</v>
      </c>
      <c r="B17" s="147" t="s">
        <v>3455</v>
      </c>
      <c r="C17" s="139" t="s">
        <v>3442</v>
      </c>
      <c r="D17" s="139" t="s">
        <v>3442</v>
      </c>
      <c r="E17" s="139" t="s">
        <v>3442</v>
      </c>
      <c r="F17" s="139" t="s">
        <v>3442</v>
      </c>
      <c r="G17" s="140">
        <v>0</v>
      </c>
      <c r="H17" s="172" t="s">
        <v>3455</v>
      </c>
      <c r="I17" s="139" t="s">
        <v>71</v>
      </c>
      <c r="J17" s="138">
        <v>0.46</v>
      </c>
    </row>
    <row r="18" spans="1:10" x14ac:dyDescent="0.25">
      <c r="A18" s="104" t="s">
        <v>15</v>
      </c>
      <c r="B18" s="140">
        <v>0</v>
      </c>
      <c r="C18" s="173">
        <v>0</v>
      </c>
      <c r="D18" s="173">
        <v>0</v>
      </c>
      <c r="E18" s="173">
        <v>0</v>
      </c>
      <c r="F18" s="173">
        <v>0</v>
      </c>
      <c r="G18" s="140">
        <v>0</v>
      </c>
      <c r="H18" s="162">
        <v>0</v>
      </c>
      <c r="I18" s="144">
        <v>0.01</v>
      </c>
      <c r="J18" s="144">
        <v>0.26</v>
      </c>
    </row>
    <row r="19" spans="1:10" x14ac:dyDescent="0.25">
      <c r="B19" s="156"/>
      <c r="C19" s="156"/>
      <c r="D19" s="156"/>
      <c r="E19" s="156"/>
      <c r="F19" s="156"/>
      <c r="G19" s="156"/>
    </row>
    <row r="21" spans="1:10" x14ac:dyDescent="0.25">
      <c r="A21" s="123" t="s">
        <v>3453</v>
      </c>
    </row>
    <row r="22" spans="1:10" x14ac:dyDescent="0.25">
      <c r="A22" s="123" t="s">
        <v>3454</v>
      </c>
    </row>
  </sheetData>
  <sortState ref="A7:J18">
    <sortCondition descending="1" ref="H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8"/>
  <sheetViews>
    <sheetView tabSelected="1" zoomScale="55" zoomScaleNormal="55" workbookViewId="0">
      <selection activeCell="A2" sqref="A2"/>
    </sheetView>
  </sheetViews>
  <sheetFormatPr defaultRowHeight="15" x14ac:dyDescent="0.25"/>
  <cols>
    <col min="1" max="1" width="19.140625" style="2" bestFit="1" customWidth="1"/>
    <col min="2" max="2" width="12.28515625" style="3" customWidth="1"/>
    <col min="3" max="3" width="12.28515625" style="4" customWidth="1"/>
    <col min="4" max="5" width="8.140625" style="52" customWidth="1"/>
    <col min="6" max="6" width="9.140625" style="5"/>
    <col min="7" max="7" width="9.140625" style="181"/>
    <col min="8" max="8" width="9.140625" style="5"/>
    <col min="9" max="17" width="12.28515625" style="2" customWidth="1"/>
    <col min="18" max="20" width="9.140625" style="2"/>
    <col min="21" max="21" width="19.140625" style="2" bestFit="1" customWidth="1"/>
    <col min="22" max="16384" width="9.140625" style="2"/>
  </cols>
  <sheetData>
    <row r="1" spans="1:20" x14ac:dyDescent="0.25">
      <c r="A1" s="1" t="s">
        <v>3767</v>
      </c>
      <c r="G1" s="178"/>
    </row>
    <row r="2" spans="1:20" s="7" customFormat="1" ht="92.25" customHeight="1" x14ac:dyDescent="0.25">
      <c r="A2" s="7" t="s">
        <v>6</v>
      </c>
      <c r="B2" s="8" t="s">
        <v>7</v>
      </c>
      <c r="C2" s="9" t="s">
        <v>8</v>
      </c>
      <c r="D2" s="10" t="s">
        <v>9</v>
      </c>
      <c r="E2" s="10" t="s">
        <v>10</v>
      </c>
      <c r="F2" s="177" t="s">
        <v>3465</v>
      </c>
      <c r="G2" s="180" t="s">
        <v>11</v>
      </c>
      <c r="H2" s="180" t="s">
        <v>12</v>
      </c>
      <c r="I2" s="11" t="s">
        <v>13</v>
      </c>
      <c r="J2" s="11" t="s">
        <v>14</v>
      </c>
      <c r="K2" s="11" t="s">
        <v>15</v>
      </c>
      <c r="L2" s="11" t="s">
        <v>16</v>
      </c>
      <c r="M2" s="11" t="s">
        <v>17</v>
      </c>
      <c r="N2" s="11" t="s">
        <v>18</v>
      </c>
      <c r="O2" s="11" t="s">
        <v>19</v>
      </c>
      <c r="P2" s="11" t="s">
        <v>20</v>
      </c>
      <c r="Q2" s="11" t="s">
        <v>21</v>
      </c>
      <c r="R2" s="11" t="s">
        <v>22</v>
      </c>
      <c r="S2" s="11" t="s">
        <v>7</v>
      </c>
      <c r="T2" s="12" t="s">
        <v>23</v>
      </c>
    </row>
    <row r="3" spans="1:20" s="7" customFormat="1" x14ac:dyDescent="0.25">
      <c r="A3" s="13" t="s">
        <v>24</v>
      </c>
      <c r="B3" s="14">
        <v>0.79</v>
      </c>
      <c r="C3" s="4">
        <v>3.58</v>
      </c>
      <c r="D3" s="52">
        <v>1</v>
      </c>
      <c r="E3" s="52">
        <v>2</v>
      </c>
      <c r="F3" s="5">
        <v>3</v>
      </c>
      <c r="G3" s="176">
        <v>4</v>
      </c>
      <c r="H3" s="15"/>
      <c r="I3" s="13"/>
      <c r="J3" s="13"/>
      <c r="K3" s="13"/>
      <c r="L3" s="13" t="s">
        <v>25</v>
      </c>
      <c r="M3" s="13"/>
      <c r="N3" s="13" t="s">
        <v>26</v>
      </c>
      <c r="O3" s="13"/>
      <c r="P3" s="13"/>
      <c r="Q3" s="13"/>
      <c r="R3" s="13" t="s">
        <v>27</v>
      </c>
      <c r="S3" s="13">
        <v>0.79</v>
      </c>
      <c r="T3" s="16">
        <v>1.3052386146485346</v>
      </c>
    </row>
    <row r="4" spans="1:20" x14ac:dyDescent="0.25">
      <c r="A4" s="13" t="s">
        <v>28</v>
      </c>
      <c r="B4" s="3">
        <v>0.89</v>
      </c>
      <c r="C4" s="4">
        <v>2.25</v>
      </c>
      <c r="D4" s="52">
        <v>1</v>
      </c>
      <c r="E4" s="52">
        <v>2</v>
      </c>
      <c r="F4" s="5">
        <v>3</v>
      </c>
      <c r="G4" s="176">
        <v>5</v>
      </c>
      <c r="H4" s="179">
        <v>6</v>
      </c>
      <c r="I4" s="13"/>
      <c r="J4" s="13"/>
      <c r="K4" s="13"/>
      <c r="L4" s="13"/>
      <c r="M4" s="13"/>
      <c r="N4" s="13"/>
      <c r="O4" s="13"/>
      <c r="P4" s="13"/>
      <c r="Q4" s="13"/>
      <c r="R4" s="13" t="s">
        <v>27</v>
      </c>
      <c r="S4" s="13">
        <v>0.89</v>
      </c>
      <c r="T4" s="16">
        <v>1.2897433118954917</v>
      </c>
    </row>
    <row r="5" spans="1:20" x14ac:dyDescent="0.25">
      <c r="A5" s="13" t="s">
        <v>29</v>
      </c>
      <c r="B5" s="14">
        <v>0.74</v>
      </c>
      <c r="C5" s="4">
        <v>1.82</v>
      </c>
      <c r="D5" s="52">
        <v>1</v>
      </c>
      <c r="E5" s="52">
        <v>2</v>
      </c>
      <c r="F5" s="5">
        <v>3</v>
      </c>
      <c r="G5" s="176">
        <v>5</v>
      </c>
      <c r="H5" s="179">
        <v>6</v>
      </c>
      <c r="I5" s="13"/>
      <c r="J5" s="13"/>
      <c r="K5" s="13"/>
      <c r="L5" s="13"/>
      <c r="M5" s="13"/>
      <c r="N5" s="13"/>
      <c r="O5" s="13"/>
      <c r="P5" s="13"/>
      <c r="Q5" s="13"/>
      <c r="R5" s="13" t="s">
        <v>27</v>
      </c>
      <c r="S5" s="13">
        <v>0.74</v>
      </c>
      <c r="T5" s="16">
        <v>1.2839562413682604</v>
      </c>
    </row>
    <row r="6" spans="1:20" x14ac:dyDescent="0.25">
      <c r="A6" s="13" t="s">
        <v>30</v>
      </c>
      <c r="B6" s="14">
        <v>0.67</v>
      </c>
      <c r="C6" s="4">
        <v>2.12</v>
      </c>
      <c r="D6" s="52">
        <v>1</v>
      </c>
      <c r="E6" s="52">
        <v>2</v>
      </c>
      <c r="F6" s="5">
        <v>3</v>
      </c>
      <c r="G6" s="176">
        <v>5</v>
      </c>
      <c r="H6" s="179">
        <v>6</v>
      </c>
      <c r="I6" s="13"/>
      <c r="J6" s="13"/>
      <c r="K6" s="13"/>
      <c r="L6" s="13"/>
      <c r="M6" s="13"/>
      <c r="N6" s="13"/>
      <c r="O6" s="13"/>
      <c r="P6" s="13"/>
      <c r="Q6" s="13" t="s">
        <v>31</v>
      </c>
      <c r="R6" s="13" t="s">
        <v>27</v>
      </c>
      <c r="S6" s="13">
        <v>0.67</v>
      </c>
      <c r="T6" s="16">
        <v>1.2679727546819053</v>
      </c>
    </row>
    <row r="7" spans="1:20" x14ac:dyDescent="0.25">
      <c r="A7" s="13" t="s">
        <v>32</v>
      </c>
      <c r="B7" s="3">
        <v>0.8</v>
      </c>
      <c r="C7" s="4">
        <v>2.0499999999999998</v>
      </c>
      <c r="D7" s="52">
        <v>1</v>
      </c>
      <c r="E7" s="52">
        <v>2</v>
      </c>
      <c r="F7" s="5">
        <v>3</v>
      </c>
      <c r="G7" s="176">
        <v>5</v>
      </c>
      <c r="H7" s="179">
        <v>6</v>
      </c>
      <c r="I7" s="13"/>
      <c r="J7" s="13"/>
      <c r="K7" s="13"/>
      <c r="L7" s="13"/>
      <c r="M7" s="13" t="s">
        <v>33</v>
      </c>
      <c r="N7" s="13"/>
      <c r="O7" s="13"/>
      <c r="P7" s="13"/>
      <c r="Q7" s="13" t="s">
        <v>31</v>
      </c>
      <c r="R7" s="13" t="s">
        <v>27</v>
      </c>
      <c r="S7" s="13">
        <v>0.8</v>
      </c>
      <c r="T7" s="16">
        <v>1.263026151641196</v>
      </c>
    </row>
    <row r="8" spans="1:20" x14ac:dyDescent="0.25">
      <c r="A8" s="13" t="s">
        <v>34</v>
      </c>
      <c r="B8" s="3">
        <v>0.85</v>
      </c>
      <c r="C8" s="4">
        <v>3.55</v>
      </c>
      <c r="D8" s="52">
        <v>1</v>
      </c>
      <c r="E8" s="52">
        <v>2</v>
      </c>
      <c r="F8" s="5">
        <v>3</v>
      </c>
      <c r="G8" s="176">
        <v>5</v>
      </c>
      <c r="H8" s="15"/>
      <c r="I8" s="13"/>
      <c r="J8" s="13"/>
      <c r="K8" s="13"/>
      <c r="L8" s="13"/>
      <c r="M8" s="13"/>
      <c r="N8" s="13"/>
      <c r="O8" s="13"/>
      <c r="P8" s="13"/>
      <c r="Q8" s="13"/>
      <c r="R8" s="13" t="s">
        <v>27</v>
      </c>
      <c r="S8" s="13">
        <v>0.85</v>
      </c>
      <c r="T8" s="16">
        <v>1.2451030761431006</v>
      </c>
    </row>
    <row r="9" spans="1:20" x14ac:dyDescent="0.25">
      <c r="A9" s="13" t="s">
        <v>35</v>
      </c>
      <c r="B9" s="14">
        <v>0.67</v>
      </c>
      <c r="C9" s="4">
        <v>3.53</v>
      </c>
      <c r="D9" s="52">
        <v>1</v>
      </c>
      <c r="E9" s="52">
        <v>2</v>
      </c>
      <c r="F9" s="5">
        <v>3</v>
      </c>
      <c r="G9" s="176">
        <v>5</v>
      </c>
      <c r="H9" s="15"/>
      <c r="I9" s="13"/>
      <c r="J9" s="13"/>
      <c r="K9" s="13"/>
      <c r="L9" s="13" t="s">
        <v>25</v>
      </c>
      <c r="M9" s="13" t="s">
        <v>33</v>
      </c>
      <c r="N9" s="13"/>
      <c r="O9" s="13"/>
      <c r="P9" s="13"/>
      <c r="Q9" s="13"/>
      <c r="R9" s="13" t="s">
        <v>27</v>
      </c>
      <c r="S9" s="13">
        <v>0.67</v>
      </c>
      <c r="T9" s="17">
        <v>1.168641544495169</v>
      </c>
    </row>
    <row r="10" spans="1:20" x14ac:dyDescent="0.25">
      <c r="A10" s="13" t="s">
        <v>36</v>
      </c>
      <c r="B10" s="18">
        <v>0.39</v>
      </c>
      <c r="C10" s="4">
        <v>1.89</v>
      </c>
      <c r="D10" s="52">
        <v>1</v>
      </c>
      <c r="E10" s="52">
        <v>2</v>
      </c>
      <c r="F10" s="5">
        <v>3</v>
      </c>
      <c r="G10" s="176">
        <v>5</v>
      </c>
      <c r="H10" s="179">
        <v>6</v>
      </c>
      <c r="I10" s="13"/>
      <c r="J10" s="13"/>
      <c r="K10" s="13"/>
      <c r="L10" s="13"/>
      <c r="M10" s="13"/>
      <c r="N10" s="13" t="s">
        <v>33</v>
      </c>
      <c r="O10" s="13"/>
      <c r="P10" s="13"/>
      <c r="Q10" s="13"/>
      <c r="R10" s="13" t="s">
        <v>27</v>
      </c>
      <c r="S10" s="13">
        <v>0.39</v>
      </c>
      <c r="T10" s="17">
        <v>1.1657512027558932</v>
      </c>
    </row>
    <row r="11" spans="1:20" x14ac:dyDescent="0.25">
      <c r="A11" s="13" t="s">
        <v>37</v>
      </c>
      <c r="B11" s="3">
        <v>0.87</v>
      </c>
      <c r="C11" s="4">
        <v>1.99</v>
      </c>
      <c r="D11" s="52">
        <v>1</v>
      </c>
      <c r="E11" s="52">
        <v>2</v>
      </c>
      <c r="F11" s="5">
        <v>3</v>
      </c>
      <c r="G11" s="176">
        <v>5</v>
      </c>
      <c r="H11" s="179">
        <v>6</v>
      </c>
      <c r="I11" s="13"/>
      <c r="J11" s="13"/>
      <c r="K11" s="13"/>
      <c r="L11" s="13" t="s">
        <v>33</v>
      </c>
      <c r="M11" s="13"/>
      <c r="N11" s="13"/>
      <c r="O11" s="13"/>
      <c r="P11" s="13"/>
      <c r="Q11" s="13" t="s">
        <v>31</v>
      </c>
      <c r="R11" s="13" t="s">
        <v>27</v>
      </c>
      <c r="S11" s="13">
        <v>0.87</v>
      </c>
      <c r="T11" s="17">
        <v>1.1633667192940247</v>
      </c>
    </row>
    <row r="12" spans="1:20" x14ac:dyDescent="0.25">
      <c r="A12" s="13" t="s">
        <v>38</v>
      </c>
      <c r="B12" s="3">
        <v>0.91</v>
      </c>
      <c r="C12" s="4">
        <v>2.29</v>
      </c>
      <c r="D12" s="52">
        <v>1</v>
      </c>
      <c r="E12" s="52">
        <v>2</v>
      </c>
      <c r="F12" s="5">
        <v>3</v>
      </c>
      <c r="G12" s="176">
        <v>5</v>
      </c>
      <c r="H12" s="179">
        <v>6</v>
      </c>
      <c r="I12" s="13"/>
      <c r="J12" s="13"/>
      <c r="K12" s="13"/>
      <c r="L12" s="13"/>
      <c r="M12" s="13"/>
      <c r="N12" s="13"/>
      <c r="O12" s="13"/>
      <c r="P12" s="13"/>
      <c r="Q12" s="13" t="s">
        <v>31</v>
      </c>
      <c r="R12" s="13" t="s">
        <v>27</v>
      </c>
      <c r="S12" s="13">
        <v>0.91</v>
      </c>
      <c r="T12" s="17">
        <v>1.1590893275627216</v>
      </c>
    </row>
    <row r="13" spans="1:20" x14ac:dyDescent="0.25">
      <c r="A13" s="13" t="s">
        <v>39</v>
      </c>
      <c r="B13" s="19">
        <v>0.48</v>
      </c>
      <c r="C13" s="4">
        <v>1.83</v>
      </c>
      <c r="D13" s="52">
        <v>1</v>
      </c>
      <c r="E13" s="52">
        <v>2</v>
      </c>
      <c r="F13" s="5">
        <v>7</v>
      </c>
      <c r="G13" s="176">
        <v>5</v>
      </c>
      <c r="H13" s="179">
        <v>6</v>
      </c>
      <c r="I13" s="13"/>
      <c r="J13" s="13" t="s">
        <v>40</v>
      </c>
      <c r="K13" s="13"/>
      <c r="L13" s="13"/>
      <c r="M13" s="13"/>
      <c r="N13" s="13"/>
      <c r="O13" s="13" t="s">
        <v>25</v>
      </c>
      <c r="P13" s="13"/>
      <c r="Q13" s="13" t="s">
        <v>31</v>
      </c>
      <c r="R13" s="13" t="s">
        <v>27</v>
      </c>
      <c r="S13" s="13">
        <v>0.48</v>
      </c>
      <c r="T13" s="17">
        <v>1.1401753656925691</v>
      </c>
    </row>
    <row r="14" spans="1:20" x14ac:dyDescent="0.25">
      <c r="A14" s="13" t="s">
        <v>41</v>
      </c>
      <c r="B14" s="14">
        <v>0.78</v>
      </c>
      <c r="C14" s="4">
        <v>1.85</v>
      </c>
      <c r="D14" s="52">
        <v>1</v>
      </c>
      <c r="E14" s="52">
        <v>2</v>
      </c>
      <c r="F14" s="5">
        <v>3</v>
      </c>
      <c r="G14" s="176">
        <v>5</v>
      </c>
      <c r="H14" s="179">
        <v>6</v>
      </c>
      <c r="I14" s="13"/>
      <c r="J14" s="13"/>
      <c r="K14" s="13"/>
      <c r="L14" s="13"/>
      <c r="M14" s="13"/>
      <c r="N14" s="13"/>
      <c r="O14" s="13"/>
      <c r="P14" s="13"/>
      <c r="Q14" s="13"/>
      <c r="R14" s="13" t="s">
        <v>27</v>
      </c>
      <c r="S14" s="13">
        <v>0.78</v>
      </c>
      <c r="T14" s="17">
        <v>1.1398823288235467</v>
      </c>
    </row>
    <row r="15" spans="1:20" x14ac:dyDescent="0.25">
      <c r="A15" s="13" t="s">
        <v>42</v>
      </c>
      <c r="B15" s="14">
        <v>0.79</v>
      </c>
      <c r="C15" s="4">
        <v>1.89</v>
      </c>
      <c r="D15" s="52">
        <v>1</v>
      </c>
      <c r="E15" s="52">
        <v>2</v>
      </c>
      <c r="F15" s="5">
        <v>3</v>
      </c>
      <c r="G15" s="176">
        <v>5</v>
      </c>
      <c r="H15" s="179">
        <v>6</v>
      </c>
      <c r="I15" s="13"/>
      <c r="J15" s="13"/>
      <c r="K15" s="13"/>
      <c r="L15" s="13"/>
      <c r="M15" s="13"/>
      <c r="N15" s="13"/>
      <c r="O15" s="13"/>
      <c r="P15" s="13" t="s">
        <v>43</v>
      </c>
      <c r="Q15" s="13"/>
      <c r="R15" s="13" t="s">
        <v>27</v>
      </c>
      <c r="S15" s="13">
        <v>0.79</v>
      </c>
      <c r="T15" s="17">
        <v>1.1223445118333171</v>
      </c>
    </row>
    <row r="16" spans="1:20" x14ac:dyDescent="0.25">
      <c r="A16" s="13" t="s">
        <v>44</v>
      </c>
      <c r="B16" s="19">
        <v>0.47</v>
      </c>
      <c r="C16" s="4">
        <v>1.81</v>
      </c>
      <c r="D16" s="52">
        <v>4</v>
      </c>
      <c r="E16" s="52">
        <v>2</v>
      </c>
      <c r="F16" s="5">
        <v>3</v>
      </c>
      <c r="G16" s="176">
        <v>5</v>
      </c>
      <c r="H16" s="15"/>
      <c r="I16" s="13"/>
      <c r="J16" s="13"/>
      <c r="K16" s="13"/>
      <c r="L16" s="13" t="s">
        <v>25</v>
      </c>
      <c r="M16" s="13"/>
      <c r="N16" s="13"/>
      <c r="O16" s="13"/>
      <c r="P16" s="13"/>
      <c r="Q16" s="13"/>
      <c r="R16" s="13" t="s">
        <v>27</v>
      </c>
      <c r="S16" s="13">
        <v>0.47</v>
      </c>
      <c r="T16" s="17">
        <v>1.1220920797275884</v>
      </c>
    </row>
    <row r="17" spans="1:20" x14ac:dyDescent="0.25">
      <c r="A17" s="13" t="s">
        <v>45</v>
      </c>
      <c r="B17" s="3">
        <v>0.83</v>
      </c>
      <c r="C17" s="4">
        <v>1.76</v>
      </c>
      <c r="D17" s="52">
        <v>1</v>
      </c>
      <c r="E17" s="52">
        <v>2</v>
      </c>
      <c r="F17" s="5">
        <v>3</v>
      </c>
      <c r="G17" s="176">
        <v>5</v>
      </c>
      <c r="H17" s="179">
        <v>2</v>
      </c>
      <c r="I17" s="13" t="s">
        <v>46</v>
      </c>
      <c r="J17" s="13"/>
      <c r="K17" s="13"/>
      <c r="L17" s="13"/>
      <c r="M17" s="13" t="s">
        <v>47</v>
      </c>
      <c r="N17" s="13" t="s">
        <v>33</v>
      </c>
      <c r="O17" s="13"/>
      <c r="P17" s="13"/>
      <c r="Q17" s="13"/>
      <c r="R17" s="13" t="s">
        <v>27</v>
      </c>
      <c r="S17" s="13">
        <v>0.83</v>
      </c>
      <c r="T17" s="17">
        <v>1.1187544284195639</v>
      </c>
    </row>
    <row r="18" spans="1:20" x14ac:dyDescent="0.25">
      <c r="A18" s="13" t="s">
        <v>48</v>
      </c>
      <c r="B18" s="14">
        <v>0.75</v>
      </c>
      <c r="C18" s="4">
        <v>1.85</v>
      </c>
      <c r="D18" s="52">
        <v>1</v>
      </c>
      <c r="E18" s="52">
        <v>2</v>
      </c>
      <c r="F18" s="5">
        <v>3</v>
      </c>
      <c r="G18" s="176">
        <v>5</v>
      </c>
      <c r="H18" s="179">
        <v>6</v>
      </c>
      <c r="I18" s="13"/>
      <c r="J18" s="13"/>
      <c r="K18" s="13"/>
      <c r="L18" s="13"/>
      <c r="M18" s="13"/>
      <c r="N18" s="13" t="s">
        <v>26</v>
      </c>
      <c r="O18" s="13"/>
      <c r="P18" s="13" t="s">
        <v>49</v>
      </c>
      <c r="Q18" s="13"/>
      <c r="R18" s="13" t="s">
        <v>27</v>
      </c>
      <c r="S18" s="13">
        <v>0.75</v>
      </c>
      <c r="T18" s="17">
        <v>1.1080290729199991</v>
      </c>
    </row>
    <row r="19" spans="1:20" x14ac:dyDescent="0.25">
      <c r="A19" s="13" t="s">
        <v>50</v>
      </c>
      <c r="B19" s="14">
        <v>0.75</v>
      </c>
      <c r="C19" s="4">
        <v>4.7</v>
      </c>
      <c r="D19" s="52">
        <v>1</v>
      </c>
      <c r="E19" s="52">
        <v>2</v>
      </c>
      <c r="F19" s="5">
        <v>3</v>
      </c>
      <c r="G19" s="176">
        <v>5</v>
      </c>
      <c r="H19" s="15"/>
      <c r="I19" s="13"/>
      <c r="J19" s="13"/>
      <c r="K19" s="13"/>
      <c r="L19" s="13" t="s">
        <v>51</v>
      </c>
      <c r="M19" s="13" t="s">
        <v>46</v>
      </c>
      <c r="N19" s="13"/>
      <c r="O19" s="13"/>
      <c r="P19" s="13"/>
      <c r="Q19" s="13"/>
      <c r="R19" s="13" t="s">
        <v>27</v>
      </c>
      <c r="S19" s="13">
        <v>0.75</v>
      </c>
      <c r="T19" s="17">
        <v>1.0787884557770528</v>
      </c>
    </row>
    <row r="20" spans="1:20" x14ac:dyDescent="0.25">
      <c r="A20" s="13" t="s">
        <v>52</v>
      </c>
      <c r="B20" s="14">
        <v>0.77</v>
      </c>
      <c r="C20" s="4">
        <v>3.35</v>
      </c>
      <c r="D20" s="52">
        <v>1</v>
      </c>
      <c r="E20" s="52">
        <v>2</v>
      </c>
      <c r="F20" s="5">
        <v>7</v>
      </c>
      <c r="G20" s="176">
        <v>5</v>
      </c>
      <c r="H20" s="179">
        <v>6</v>
      </c>
      <c r="I20" s="13"/>
      <c r="J20" s="13"/>
      <c r="K20" s="13"/>
      <c r="L20" s="13" t="s">
        <v>46</v>
      </c>
      <c r="M20" s="13"/>
      <c r="N20" s="13"/>
      <c r="O20" s="13"/>
      <c r="P20" s="13"/>
      <c r="Q20" s="13"/>
      <c r="R20" s="13" t="s">
        <v>27</v>
      </c>
      <c r="S20" s="13">
        <v>0.77</v>
      </c>
      <c r="T20" s="17">
        <v>1.0751040992335099</v>
      </c>
    </row>
    <row r="21" spans="1:20" x14ac:dyDescent="0.25">
      <c r="A21" s="13" t="s">
        <v>53</v>
      </c>
      <c r="B21" s="19">
        <v>0.52</v>
      </c>
      <c r="C21" s="4">
        <v>1.82</v>
      </c>
      <c r="D21" s="52">
        <v>1</v>
      </c>
      <c r="E21" s="52">
        <v>2</v>
      </c>
      <c r="F21" s="5">
        <v>3</v>
      </c>
      <c r="G21" s="176">
        <v>5</v>
      </c>
      <c r="H21" s="179">
        <v>6</v>
      </c>
      <c r="I21" s="13"/>
      <c r="J21" s="13"/>
      <c r="K21" s="13"/>
      <c r="L21" s="13"/>
      <c r="M21" s="13" t="s">
        <v>33</v>
      </c>
      <c r="N21" s="13"/>
      <c r="O21" s="13"/>
      <c r="P21" s="13"/>
      <c r="Q21" s="13"/>
      <c r="R21" s="13" t="s">
        <v>27</v>
      </c>
      <c r="S21" s="13">
        <v>0.52</v>
      </c>
      <c r="T21" s="17">
        <v>1.061395426072395</v>
      </c>
    </row>
    <row r="22" spans="1:20" x14ac:dyDescent="0.25">
      <c r="A22" s="13" t="s">
        <v>54</v>
      </c>
      <c r="B22" s="14">
        <v>0.78</v>
      </c>
      <c r="C22" s="4">
        <v>1.77</v>
      </c>
      <c r="D22" s="52">
        <v>1</v>
      </c>
      <c r="E22" s="52">
        <v>2</v>
      </c>
      <c r="F22" s="5">
        <v>3</v>
      </c>
      <c r="G22" s="176">
        <v>5</v>
      </c>
      <c r="H22" s="179">
        <v>6</v>
      </c>
      <c r="I22" s="13"/>
      <c r="J22" s="13"/>
      <c r="K22" s="13"/>
      <c r="L22" s="13"/>
      <c r="M22" s="13"/>
      <c r="N22" s="13"/>
      <c r="O22" s="13"/>
      <c r="P22" s="13" t="s">
        <v>43</v>
      </c>
      <c r="Q22" s="13"/>
      <c r="R22" s="13" t="s">
        <v>27</v>
      </c>
      <c r="S22" s="13">
        <v>0.78</v>
      </c>
      <c r="T22" s="17">
        <v>1.0412792501167552</v>
      </c>
    </row>
    <row r="23" spans="1:20" x14ac:dyDescent="0.25">
      <c r="A23" s="13" t="s">
        <v>55</v>
      </c>
      <c r="B23" s="3">
        <v>0.9</v>
      </c>
      <c r="C23" s="4">
        <v>1.95</v>
      </c>
      <c r="D23" s="52">
        <v>1</v>
      </c>
      <c r="E23" s="52">
        <v>2</v>
      </c>
      <c r="F23" s="5">
        <v>3</v>
      </c>
      <c r="G23" s="176">
        <v>5</v>
      </c>
      <c r="H23" s="179">
        <v>2</v>
      </c>
      <c r="I23" s="13"/>
      <c r="J23" s="13"/>
      <c r="K23" s="13"/>
      <c r="L23" s="13"/>
      <c r="M23" s="13"/>
      <c r="N23" s="13"/>
      <c r="O23" s="13"/>
      <c r="P23" s="13" t="s">
        <v>49</v>
      </c>
      <c r="Q23" s="13"/>
      <c r="R23" s="13" t="s">
        <v>27</v>
      </c>
      <c r="S23" s="13">
        <v>0.9</v>
      </c>
      <c r="T23" s="17">
        <v>1.0346010074486913</v>
      </c>
    </row>
    <row r="24" spans="1:20" x14ac:dyDescent="0.25">
      <c r="A24" s="13" t="s">
        <v>56</v>
      </c>
      <c r="B24" s="14">
        <v>0.72</v>
      </c>
      <c r="C24" s="4">
        <v>4.17</v>
      </c>
      <c r="D24" s="52">
        <v>1</v>
      </c>
      <c r="E24" s="52">
        <v>2</v>
      </c>
      <c r="F24" s="5">
        <v>3</v>
      </c>
      <c r="G24" s="176">
        <v>5</v>
      </c>
      <c r="H24" s="15"/>
      <c r="I24" s="13"/>
      <c r="J24" s="13"/>
      <c r="K24" s="13"/>
      <c r="L24" s="13" t="s">
        <v>51</v>
      </c>
      <c r="M24" s="13" t="s">
        <v>26</v>
      </c>
      <c r="N24" s="13"/>
      <c r="O24" s="13"/>
      <c r="P24" s="13" t="s">
        <v>49</v>
      </c>
      <c r="Q24" s="13"/>
      <c r="R24" s="13" t="s">
        <v>27</v>
      </c>
      <c r="S24" s="13">
        <v>0.72</v>
      </c>
      <c r="T24" s="17">
        <v>1.0017499996926589</v>
      </c>
    </row>
    <row r="25" spans="1:20" x14ac:dyDescent="0.25">
      <c r="A25" s="13" t="s">
        <v>57</v>
      </c>
      <c r="B25" s="19">
        <v>0.57999999999999996</v>
      </c>
      <c r="C25" s="4">
        <v>1.87</v>
      </c>
      <c r="D25" s="52">
        <v>4</v>
      </c>
      <c r="E25" s="52">
        <v>2</v>
      </c>
      <c r="F25" s="5">
        <v>3</v>
      </c>
      <c r="G25" s="176">
        <v>5</v>
      </c>
      <c r="H25" s="179">
        <v>6</v>
      </c>
      <c r="I25" s="13"/>
      <c r="J25" s="13"/>
      <c r="K25" s="13"/>
      <c r="L25" s="13" t="s">
        <v>58</v>
      </c>
      <c r="M25" s="13"/>
      <c r="N25" s="13"/>
      <c r="O25" s="13"/>
      <c r="P25" s="13"/>
      <c r="Q25" s="13"/>
      <c r="R25" s="13" t="s">
        <v>27</v>
      </c>
      <c r="S25" s="13">
        <v>0.57999999999999996</v>
      </c>
      <c r="T25" s="17">
        <v>0.97964574130160964</v>
      </c>
    </row>
    <row r="26" spans="1:20" x14ac:dyDescent="0.25">
      <c r="A26" s="13" t="s">
        <v>59</v>
      </c>
      <c r="B26" s="19">
        <v>0.51</v>
      </c>
      <c r="C26" s="4">
        <v>1.75</v>
      </c>
      <c r="D26" s="52">
        <v>1</v>
      </c>
      <c r="E26" s="52">
        <v>2</v>
      </c>
      <c r="F26" s="5">
        <v>3</v>
      </c>
      <c r="G26" s="176">
        <v>5</v>
      </c>
      <c r="H26" s="179">
        <v>6</v>
      </c>
      <c r="I26" s="13"/>
      <c r="J26" s="13"/>
      <c r="K26" s="13"/>
      <c r="L26" s="13"/>
      <c r="M26" s="13"/>
      <c r="N26" s="13" t="s">
        <v>25</v>
      </c>
      <c r="O26" s="13"/>
      <c r="P26" s="13"/>
      <c r="Q26" s="13"/>
      <c r="R26" s="13" t="s">
        <v>27</v>
      </c>
      <c r="S26" s="13">
        <v>0.51</v>
      </c>
      <c r="T26" s="17">
        <v>0.97762076836259659</v>
      </c>
    </row>
    <row r="27" spans="1:20" x14ac:dyDescent="0.25">
      <c r="A27" s="13" t="s">
        <v>60</v>
      </c>
      <c r="B27" s="14">
        <v>0.76</v>
      </c>
      <c r="C27" s="4">
        <v>1.79</v>
      </c>
      <c r="D27" s="52">
        <v>1</v>
      </c>
      <c r="E27" s="52">
        <v>2</v>
      </c>
      <c r="F27" s="5">
        <v>3</v>
      </c>
      <c r="G27" s="176">
        <v>5</v>
      </c>
      <c r="H27" s="179">
        <v>6</v>
      </c>
      <c r="I27" s="13" t="s">
        <v>25</v>
      </c>
      <c r="J27" s="13"/>
      <c r="K27" s="13"/>
      <c r="L27" s="13"/>
      <c r="M27" s="13"/>
      <c r="N27" s="13"/>
      <c r="O27" s="13"/>
      <c r="P27" s="13" t="s">
        <v>49</v>
      </c>
      <c r="Q27" s="13"/>
      <c r="R27" s="13" t="s">
        <v>27</v>
      </c>
      <c r="S27" s="13">
        <v>0.76</v>
      </c>
      <c r="T27" s="17">
        <v>0.97380264290929541</v>
      </c>
    </row>
    <row r="28" spans="1:20" x14ac:dyDescent="0.25">
      <c r="A28" s="13" t="s">
        <v>61</v>
      </c>
      <c r="B28" s="18">
        <v>0.24</v>
      </c>
      <c r="C28" s="4">
        <v>1.74</v>
      </c>
      <c r="D28" s="52">
        <v>2</v>
      </c>
      <c r="E28" s="52">
        <v>1</v>
      </c>
      <c r="F28" s="5">
        <v>2</v>
      </c>
      <c r="G28" s="176">
        <v>4</v>
      </c>
      <c r="H28" s="179">
        <v>2</v>
      </c>
      <c r="I28" s="13"/>
      <c r="J28" s="13"/>
      <c r="K28" s="13"/>
      <c r="L28" s="13"/>
      <c r="M28" s="13"/>
      <c r="N28" s="13"/>
      <c r="O28" s="13"/>
      <c r="P28" s="13"/>
      <c r="Q28" s="13"/>
      <c r="R28" s="13" t="s">
        <v>27</v>
      </c>
      <c r="S28" s="13">
        <v>0.24</v>
      </c>
      <c r="T28" s="17">
        <v>0.95913945060437644</v>
      </c>
    </row>
    <row r="29" spans="1:20" x14ac:dyDescent="0.25">
      <c r="A29" s="13" t="s">
        <v>62</v>
      </c>
      <c r="B29" s="19">
        <v>0.5</v>
      </c>
      <c r="C29" s="4">
        <v>1.93</v>
      </c>
      <c r="D29" s="52">
        <v>4</v>
      </c>
      <c r="E29" s="52">
        <v>2</v>
      </c>
      <c r="F29" s="5">
        <v>3</v>
      </c>
      <c r="G29" s="176">
        <v>5</v>
      </c>
      <c r="H29" s="179">
        <v>6</v>
      </c>
      <c r="I29" s="13"/>
      <c r="J29" s="13"/>
      <c r="K29" s="13"/>
      <c r="L29" s="13" t="s">
        <v>25</v>
      </c>
      <c r="M29" s="13"/>
      <c r="N29" s="13"/>
      <c r="O29" s="13"/>
      <c r="P29" s="13" t="s">
        <v>49</v>
      </c>
      <c r="Q29" s="13"/>
      <c r="R29" s="13" t="s">
        <v>27</v>
      </c>
      <c r="S29" s="13">
        <v>0.5</v>
      </c>
      <c r="T29" s="17">
        <v>0.95251640179400154</v>
      </c>
    </row>
    <row r="30" spans="1:20" x14ac:dyDescent="0.25">
      <c r="A30" s="13" t="s">
        <v>63</v>
      </c>
      <c r="B30" s="3">
        <v>0.8</v>
      </c>
      <c r="C30" s="4">
        <v>1.89</v>
      </c>
      <c r="D30" s="52">
        <v>1</v>
      </c>
      <c r="E30" s="52">
        <v>2</v>
      </c>
      <c r="F30" s="5">
        <v>3</v>
      </c>
      <c r="G30" s="176">
        <v>5</v>
      </c>
      <c r="H30" s="179">
        <v>6</v>
      </c>
      <c r="I30" s="13"/>
      <c r="J30" s="13"/>
      <c r="K30" s="13"/>
      <c r="L30" s="13" t="s">
        <v>64</v>
      </c>
      <c r="M30" s="13" t="s">
        <v>33</v>
      </c>
      <c r="N30" s="13" t="s">
        <v>64</v>
      </c>
      <c r="O30" s="13"/>
      <c r="P30" s="13"/>
      <c r="Q30" s="13"/>
      <c r="R30" s="13" t="s">
        <v>27</v>
      </c>
      <c r="S30" s="13">
        <v>0.8</v>
      </c>
      <c r="T30" s="17">
        <v>0.95046275148523174</v>
      </c>
    </row>
    <row r="31" spans="1:20" x14ac:dyDescent="0.25">
      <c r="A31" s="13" t="s">
        <v>65</v>
      </c>
      <c r="B31" s="19">
        <v>0.47</v>
      </c>
      <c r="C31" s="4">
        <v>3.09</v>
      </c>
      <c r="D31" s="52">
        <v>1</v>
      </c>
      <c r="E31" s="52">
        <v>3</v>
      </c>
      <c r="F31" s="5">
        <v>7</v>
      </c>
      <c r="G31" s="176">
        <v>5</v>
      </c>
      <c r="H31" s="179">
        <v>6</v>
      </c>
      <c r="I31" s="13"/>
      <c r="J31" s="13"/>
      <c r="K31" s="13"/>
      <c r="L31" s="13" t="s">
        <v>33</v>
      </c>
      <c r="M31" s="13"/>
      <c r="N31" s="13"/>
      <c r="O31" s="13"/>
      <c r="P31" s="13"/>
      <c r="Q31" s="13"/>
      <c r="R31" s="13" t="s">
        <v>27</v>
      </c>
      <c r="S31" s="13">
        <v>0.47</v>
      </c>
      <c r="T31" s="17">
        <v>0.94430939017165594</v>
      </c>
    </row>
    <row r="32" spans="1:20" x14ac:dyDescent="0.25">
      <c r="A32" s="13" t="s">
        <v>66</v>
      </c>
      <c r="B32" s="18">
        <v>0.34</v>
      </c>
      <c r="C32" s="4">
        <v>3.23</v>
      </c>
      <c r="D32" s="52">
        <v>2</v>
      </c>
      <c r="E32" s="52">
        <v>1</v>
      </c>
      <c r="F32" s="5">
        <v>2</v>
      </c>
      <c r="G32" s="176">
        <v>4</v>
      </c>
      <c r="H32" s="15"/>
      <c r="I32" s="13" t="s">
        <v>46</v>
      </c>
      <c r="J32" s="13" t="s">
        <v>67</v>
      </c>
      <c r="K32" s="13"/>
      <c r="L32" s="13"/>
      <c r="M32" s="13"/>
      <c r="N32" s="13"/>
      <c r="O32" s="13"/>
      <c r="P32" s="13"/>
      <c r="Q32" s="13"/>
      <c r="R32" s="13" t="s">
        <v>27</v>
      </c>
      <c r="S32" s="13">
        <v>0.34</v>
      </c>
      <c r="T32" s="17">
        <v>0.93685849106379004</v>
      </c>
    </row>
    <row r="33" spans="1:20" x14ac:dyDescent="0.25">
      <c r="A33" s="13" t="s">
        <v>68</v>
      </c>
      <c r="B33" s="14">
        <v>0.65</v>
      </c>
      <c r="C33" s="4">
        <v>3.23</v>
      </c>
      <c r="D33" s="52">
        <v>1</v>
      </c>
      <c r="E33" s="52">
        <v>2</v>
      </c>
      <c r="F33" s="5">
        <v>7</v>
      </c>
      <c r="G33" s="176">
        <v>4</v>
      </c>
      <c r="H33" s="179">
        <v>2</v>
      </c>
      <c r="I33" s="13"/>
      <c r="J33" s="13"/>
      <c r="K33" s="13"/>
      <c r="L33" s="13"/>
      <c r="M33" s="13"/>
      <c r="N33" s="13"/>
      <c r="O33" s="13"/>
      <c r="P33" s="13"/>
      <c r="Q33" s="13"/>
      <c r="R33" s="13" t="s">
        <v>27</v>
      </c>
      <c r="S33" s="13">
        <v>0.65</v>
      </c>
      <c r="T33" s="17">
        <v>0.8326201257857706</v>
      </c>
    </row>
    <row r="34" spans="1:20" x14ac:dyDescent="0.25">
      <c r="A34" s="13" t="s">
        <v>69</v>
      </c>
      <c r="B34" s="14">
        <v>0.69</v>
      </c>
      <c r="C34" s="4">
        <v>1.71</v>
      </c>
      <c r="D34" s="52">
        <v>1</v>
      </c>
      <c r="E34" s="52">
        <v>2</v>
      </c>
      <c r="F34" s="5">
        <v>3</v>
      </c>
      <c r="G34" s="176">
        <v>5</v>
      </c>
      <c r="H34" s="179">
        <v>6</v>
      </c>
      <c r="I34" s="13"/>
      <c r="J34" s="13"/>
      <c r="K34" s="13"/>
      <c r="L34" s="13"/>
      <c r="M34" s="13" t="s">
        <v>33</v>
      </c>
      <c r="N34" s="13"/>
      <c r="O34" s="13"/>
      <c r="P34" s="13"/>
      <c r="Q34" s="13"/>
      <c r="R34" s="13" t="s">
        <v>27</v>
      </c>
      <c r="S34" s="13">
        <v>0.69</v>
      </c>
      <c r="T34" s="17">
        <v>0.81515324766230957</v>
      </c>
    </row>
    <row r="35" spans="1:20" x14ac:dyDescent="0.25">
      <c r="A35" s="13" t="s">
        <v>70</v>
      </c>
      <c r="B35" s="3" t="s">
        <v>71</v>
      </c>
      <c r="C35" s="4" t="s">
        <v>71</v>
      </c>
      <c r="D35" s="52">
        <v>3</v>
      </c>
      <c r="E35" s="52">
        <v>2</v>
      </c>
      <c r="F35" s="5">
        <v>7</v>
      </c>
      <c r="G35" s="176">
        <v>4</v>
      </c>
      <c r="H35" s="179">
        <v>6</v>
      </c>
      <c r="I35" s="13"/>
      <c r="J35" s="13"/>
      <c r="K35" s="13"/>
      <c r="L35" s="13"/>
      <c r="M35" s="13"/>
      <c r="N35" s="13"/>
      <c r="O35" s="13"/>
      <c r="P35" s="13"/>
      <c r="Q35" s="13"/>
      <c r="R35" s="13" t="s">
        <v>27</v>
      </c>
      <c r="S35" s="13" t="s">
        <v>71</v>
      </c>
      <c r="T35" s="20">
        <v>0.71807210693459556</v>
      </c>
    </row>
    <row r="36" spans="1:20" x14ac:dyDescent="0.25">
      <c r="A36" s="13" t="s">
        <v>72</v>
      </c>
      <c r="B36" s="18">
        <v>0.28000000000000003</v>
      </c>
      <c r="C36" s="4">
        <v>1.85</v>
      </c>
      <c r="D36" s="52">
        <v>3</v>
      </c>
      <c r="E36" s="52">
        <v>2</v>
      </c>
      <c r="F36" s="5">
        <v>7</v>
      </c>
      <c r="G36" s="176">
        <v>4</v>
      </c>
      <c r="H36" s="15"/>
      <c r="I36" s="13"/>
      <c r="J36" s="13"/>
      <c r="K36" s="13"/>
      <c r="L36" s="13"/>
      <c r="M36" s="13"/>
      <c r="N36" s="13"/>
      <c r="O36" s="13"/>
      <c r="P36" s="13"/>
      <c r="Q36" s="13"/>
      <c r="R36" s="13" t="s">
        <v>27</v>
      </c>
      <c r="S36" s="13">
        <v>0.28000000000000003</v>
      </c>
      <c r="T36" s="20">
        <v>0.67559512395338217</v>
      </c>
    </row>
    <row r="37" spans="1:20" x14ac:dyDescent="0.25">
      <c r="A37" s="13" t="s">
        <v>73</v>
      </c>
      <c r="B37" s="14">
        <v>0.73</v>
      </c>
      <c r="C37" s="4">
        <v>4.29</v>
      </c>
      <c r="D37" s="52">
        <v>1</v>
      </c>
      <c r="E37" s="52">
        <v>4</v>
      </c>
      <c r="F37" s="5">
        <v>3</v>
      </c>
      <c r="G37" s="176">
        <v>5</v>
      </c>
      <c r="H37" s="15"/>
      <c r="I37" s="13"/>
      <c r="J37" s="13"/>
      <c r="K37" s="13"/>
      <c r="L37" s="13"/>
      <c r="M37" s="13"/>
      <c r="N37" s="13"/>
      <c r="O37" s="13"/>
      <c r="P37" s="13"/>
      <c r="Q37" s="13"/>
      <c r="R37" s="13" t="s">
        <v>27</v>
      </c>
      <c r="S37" s="13">
        <v>0.73</v>
      </c>
      <c r="T37" s="21">
        <v>0.56496495678009784</v>
      </c>
    </row>
    <row r="38" spans="1:20" x14ac:dyDescent="0.25">
      <c r="A38" s="13" t="s">
        <v>74</v>
      </c>
      <c r="B38" s="3" t="s">
        <v>71</v>
      </c>
      <c r="C38" s="4" t="s">
        <v>71</v>
      </c>
      <c r="D38" s="52">
        <v>3</v>
      </c>
      <c r="E38" s="52">
        <v>4</v>
      </c>
      <c r="F38" s="5">
        <v>7</v>
      </c>
      <c r="G38" s="176">
        <v>4</v>
      </c>
      <c r="H38" s="179">
        <v>2</v>
      </c>
      <c r="I38" s="13"/>
      <c r="J38" s="13"/>
      <c r="K38" s="13"/>
      <c r="L38" s="13"/>
      <c r="M38" s="13"/>
      <c r="N38" s="13"/>
      <c r="O38" s="13"/>
      <c r="P38" s="13"/>
      <c r="Q38" s="13"/>
      <c r="R38" s="13" t="s">
        <v>27</v>
      </c>
      <c r="S38" s="13" t="s">
        <v>71</v>
      </c>
      <c r="T38" s="21">
        <v>0.43104885895191491</v>
      </c>
    </row>
    <row r="39" spans="1:20" x14ac:dyDescent="0.25">
      <c r="A39" s="13" t="s">
        <v>75</v>
      </c>
      <c r="B39" s="3">
        <v>0.87</v>
      </c>
      <c r="C39" s="4">
        <v>2.1800000000000002</v>
      </c>
      <c r="D39" s="52">
        <v>1</v>
      </c>
      <c r="E39" s="52">
        <v>2</v>
      </c>
      <c r="F39" s="5">
        <v>7</v>
      </c>
      <c r="G39" s="176">
        <v>6</v>
      </c>
      <c r="H39" s="179">
        <v>3</v>
      </c>
      <c r="I39" s="13"/>
      <c r="J39" s="13"/>
      <c r="K39" s="13"/>
      <c r="L39" s="13" t="s">
        <v>46</v>
      </c>
      <c r="M39" s="13"/>
      <c r="N39" s="13"/>
      <c r="O39" s="13" t="s">
        <v>46</v>
      </c>
      <c r="P39" s="13"/>
      <c r="Q39" s="13"/>
      <c r="R39" s="13" t="s">
        <v>27</v>
      </c>
      <c r="S39" s="13">
        <v>0.87</v>
      </c>
      <c r="T39" s="22">
        <v>0.26280624609885839</v>
      </c>
    </row>
    <row r="40" spans="1:20" x14ac:dyDescent="0.25">
      <c r="A40" s="13" t="s">
        <v>76</v>
      </c>
      <c r="B40" s="14">
        <v>0.74</v>
      </c>
      <c r="C40" s="4">
        <v>3.74</v>
      </c>
      <c r="D40" s="52">
        <v>4</v>
      </c>
      <c r="E40" s="52">
        <v>4</v>
      </c>
      <c r="F40" s="5">
        <v>5</v>
      </c>
      <c r="G40" s="176">
        <v>1</v>
      </c>
      <c r="H40" s="15"/>
      <c r="I40" s="13"/>
      <c r="J40" s="13"/>
      <c r="K40" s="13"/>
      <c r="L40" s="13"/>
      <c r="M40" s="13"/>
      <c r="N40" s="13"/>
      <c r="O40" s="13"/>
      <c r="P40" s="13"/>
      <c r="Q40" s="13"/>
      <c r="R40" s="13" t="s">
        <v>27</v>
      </c>
      <c r="S40" s="13">
        <v>0.74</v>
      </c>
      <c r="T40" s="23">
        <v>0.1884399513010569</v>
      </c>
    </row>
    <row r="41" spans="1:20" x14ac:dyDescent="0.25">
      <c r="A41" s="24" t="s">
        <v>77</v>
      </c>
      <c r="B41" s="14">
        <v>0.61</v>
      </c>
      <c r="C41" s="4">
        <v>1.88</v>
      </c>
      <c r="D41" s="52">
        <v>4</v>
      </c>
      <c r="E41" s="52">
        <v>2</v>
      </c>
      <c r="F41" s="5">
        <v>3</v>
      </c>
      <c r="G41" s="176">
        <v>5</v>
      </c>
      <c r="H41" s="179">
        <v>3</v>
      </c>
      <c r="I41" s="24"/>
      <c r="J41" s="24"/>
      <c r="K41" s="24"/>
      <c r="L41" s="24" t="s">
        <v>25</v>
      </c>
      <c r="M41" s="24"/>
      <c r="N41" s="24"/>
      <c r="O41" s="24"/>
      <c r="P41" s="24" t="s">
        <v>49</v>
      </c>
      <c r="Q41" s="24"/>
      <c r="R41" s="24" t="s">
        <v>78</v>
      </c>
      <c r="S41" s="24">
        <v>0.61</v>
      </c>
      <c r="T41" s="17">
        <v>1.1255525158657242</v>
      </c>
    </row>
    <row r="42" spans="1:20" x14ac:dyDescent="0.25">
      <c r="A42" s="24" t="s">
        <v>79</v>
      </c>
      <c r="B42" s="14">
        <v>0.71</v>
      </c>
      <c r="C42" s="4">
        <v>3.28</v>
      </c>
      <c r="D42" s="52">
        <v>1</v>
      </c>
      <c r="E42" s="52">
        <v>2</v>
      </c>
      <c r="F42" s="5">
        <v>3</v>
      </c>
      <c r="G42" s="176">
        <v>5</v>
      </c>
      <c r="H42" s="179">
        <v>3</v>
      </c>
      <c r="I42" s="24"/>
      <c r="J42" s="24"/>
      <c r="K42" s="24"/>
      <c r="L42" s="24"/>
      <c r="M42" s="24"/>
      <c r="N42" s="24"/>
      <c r="O42" s="24"/>
      <c r="P42" s="24" t="s">
        <v>43</v>
      </c>
      <c r="Q42" s="24"/>
      <c r="R42" s="24" t="s">
        <v>78</v>
      </c>
      <c r="S42" s="24">
        <v>0.71</v>
      </c>
      <c r="T42" s="17">
        <v>1.0027916819656961</v>
      </c>
    </row>
    <row r="43" spans="1:20" x14ac:dyDescent="0.25">
      <c r="A43" s="24" t="s">
        <v>80</v>
      </c>
      <c r="B43" s="3">
        <v>0.81</v>
      </c>
      <c r="C43" s="4">
        <v>1.9</v>
      </c>
      <c r="D43" s="52">
        <v>4</v>
      </c>
      <c r="E43" s="52">
        <v>2</v>
      </c>
      <c r="F43" s="5">
        <v>3</v>
      </c>
      <c r="G43" s="176">
        <v>5</v>
      </c>
      <c r="H43" s="179">
        <v>4</v>
      </c>
      <c r="I43" s="24" t="s">
        <v>46</v>
      </c>
      <c r="J43" s="24"/>
      <c r="K43" s="24"/>
      <c r="L43" s="24"/>
      <c r="M43" s="24"/>
      <c r="N43" s="24"/>
      <c r="O43" s="24"/>
      <c r="P43" s="24"/>
      <c r="Q43" s="24"/>
      <c r="R43" s="24" t="s">
        <v>78</v>
      </c>
      <c r="S43" s="24">
        <v>0.81</v>
      </c>
      <c r="T43" s="17">
        <v>0.95993757304642968</v>
      </c>
    </row>
    <row r="44" spans="1:20" x14ac:dyDescent="0.25">
      <c r="A44" s="24" t="s">
        <v>81</v>
      </c>
      <c r="B44" s="14">
        <v>0.67</v>
      </c>
      <c r="C44" s="4">
        <v>3.24</v>
      </c>
      <c r="D44" s="52">
        <v>1</v>
      </c>
      <c r="E44" s="52">
        <v>2</v>
      </c>
      <c r="F44" s="5">
        <v>3</v>
      </c>
      <c r="G44" s="176">
        <v>5</v>
      </c>
      <c r="H44" s="15"/>
      <c r="I44" s="24"/>
      <c r="J44" s="24"/>
      <c r="K44" s="24"/>
      <c r="L44" s="24" t="s">
        <v>33</v>
      </c>
      <c r="M44" s="24"/>
      <c r="N44" s="24"/>
      <c r="O44" s="24"/>
      <c r="P44" s="24" t="s">
        <v>43</v>
      </c>
      <c r="Q44" s="24"/>
      <c r="R44" s="24" t="s">
        <v>78</v>
      </c>
      <c r="S44" s="24">
        <v>0.67</v>
      </c>
      <c r="T44" s="20">
        <v>0.78682763448617821</v>
      </c>
    </row>
    <row r="45" spans="1:20" x14ac:dyDescent="0.25">
      <c r="A45" s="24" t="s">
        <v>82</v>
      </c>
      <c r="B45" s="14">
        <v>0.63</v>
      </c>
      <c r="C45" s="4">
        <v>3.67</v>
      </c>
      <c r="D45" s="52">
        <v>4</v>
      </c>
      <c r="E45" s="52">
        <v>2</v>
      </c>
      <c r="F45" s="5">
        <v>3</v>
      </c>
      <c r="G45" s="176">
        <v>6</v>
      </c>
      <c r="H45" s="179">
        <v>3</v>
      </c>
      <c r="I45" s="24"/>
      <c r="J45" s="24"/>
      <c r="K45" s="24"/>
      <c r="L45" s="24" t="s">
        <v>46</v>
      </c>
      <c r="M45" s="24"/>
      <c r="N45" s="24"/>
      <c r="O45" s="24"/>
      <c r="P45" s="24" t="s">
        <v>49</v>
      </c>
      <c r="Q45" s="24"/>
      <c r="R45" s="24" t="s">
        <v>78</v>
      </c>
      <c r="S45" s="24">
        <v>0.63</v>
      </c>
      <c r="T45" s="20">
        <v>0.70086895640364688</v>
      </c>
    </row>
    <row r="46" spans="1:20" x14ac:dyDescent="0.25">
      <c r="A46" s="24" t="s">
        <v>83</v>
      </c>
      <c r="B46" s="14">
        <v>0.71</v>
      </c>
      <c r="C46" s="4">
        <v>2.21</v>
      </c>
      <c r="D46" s="52">
        <v>5</v>
      </c>
      <c r="E46" s="52">
        <v>3</v>
      </c>
      <c r="F46" s="5">
        <v>6</v>
      </c>
      <c r="G46" s="176">
        <v>5</v>
      </c>
      <c r="H46" s="179">
        <v>4</v>
      </c>
      <c r="I46" s="24" t="s">
        <v>46</v>
      </c>
      <c r="J46" s="24"/>
      <c r="K46" s="24"/>
      <c r="L46" s="24"/>
      <c r="M46" s="24"/>
      <c r="N46" s="24"/>
      <c r="O46" s="24"/>
      <c r="P46" s="24"/>
      <c r="Q46" s="24"/>
      <c r="R46" s="24" t="s">
        <v>78</v>
      </c>
      <c r="S46" s="24">
        <v>0.71</v>
      </c>
      <c r="T46" s="20">
        <v>0.67842807728126564</v>
      </c>
    </row>
    <row r="47" spans="1:20" x14ac:dyDescent="0.25">
      <c r="A47" s="24" t="s">
        <v>84</v>
      </c>
      <c r="B47" s="14">
        <v>0.72</v>
      </c>
      <c r="C47" s="4">
        <v>1.84</v>
      </c>
      <c r="D47" s="52">
        <v>4</v>
      </c>
      <c r="E47" s="52">
        <v>2</v>
      </c>
      <c r="F47" s="5">
        <v>7</v>
      </c>
      <c r="G47" s="176">
        <v>5</v>
      </c>
      <c r="H47" s="179">
        <v>3</v>
      </c>
      <c r="I47" s="24"/>
      <c r="J47" s="24"/>
      <c r="K47" s="24"/>
      <c r="L47" s="24" t="s">
        <v>26</v>
      </c>
      <c r="M47" s="24"/>
      <c r="N47" s="24"/>
      <c r="O47" s="24"/>
      <c r="P47" s="24"/>
      <c r="Q47" s="24" t="s">
        <v>31</v>
      </c>
      <c r="R47" s="24" t="s">
        <v>78</v>
      </c>
      <c r="S47" s="24">
        <v>0.72</v>
      </c>
      <c r="T47" s="20">
        <v>0.66554003223138669</v>
      </c>
    </row>
    <row r="48" spans="1:20" x14ac:dyDescent="0.25">
      <c r="A48" s="24" t="s">
        <v>85</v>
      </c>
      <c r="B48" s="14">
        <v>0.6</v>
      </c>
      <c r="C48" s="4">
        <v>3.71</v>
      </c>
      <c r="D48" s="52">
        <v>4</v>
      </c>
      <c r="E48" s="52">
        <v>4</v>
      </c>
      <c r="F48" s="5">
        <v>4</v>
      </c>
      <c r="G48" s="176">
        <v>3</v>
      </c>
      <c r="H48" s="15"/>
      <c r="I48" s="24"/>
      <c r="J48" s="24"/>
      <c r="K48" s="24"/>
      <c r="L48" s="24"/>
      <c r="M48" s="24"/>
      <c r="N48" s="24"/>
      <c r="O48" s="24"/>
      <c r="P48" s="24"/>
      <c r="Q48" s="24"/>
      <c r="R48" s="24" t="s">
        <v>78</v>
      </c>
      <c r="S48" s="24">
        <v>0.6</v>
      </c>
      <c r="T48" s="21">
        <v>0.54338301428813585</v>
      </c>
    </row>
    <row r="49" spans="1:20" x14ac:dyDescent="0.25">
      <c r="A49" s="24" t="s">
        <v>86</v>
      </c>
      <c r="B49" s="19">
        <v>0.5</v>
      </c>
      <c r="C49" s="4">
        <v>2.6</v>
      </c>
      <c r="D49" s="52">
        <v>1</v>
      </c>
      <c r="E49" s="52">
        <v>4</v>
      </c>
      <c r="F49" s="5">
        <v>4</v>
      </c>
      <c r="G49" s="176">
        <v>4</v>
      </c>
      <c r="H49" s="179">
        <v>3</v>
      </c>
      <c r="I49" s="24" t="s">
        <v>46</v>
      </c>
      <c r="J49" s="24"/>
      <c r="K49" s="24"/>
      <c r="L49" s="24"/>
      <c r="M49" s="24"/>
      <c r="N49" s="24"/>
      <c r="O49" s="24"/>
      <c r="P49" s="24"/>
      <c r="Q49" s="24"/>
      <c r="R49" s="24" t="s">
        <v>78</v>
      </c>
      <c r="S49" s="24">
        <v>0.5</v>
      </c>
      <c r="T49" s="21">
        <v>0.49757596144435307</v>
      </c>
    </row>
    <row r="50" spans="1:20" x14ac:dyDescent="0.25">
      <c r="A50" s="24" t="s">
        <v>87</v>
      </c>
      <c r="B50" s="18">
        <v>0.36</v>
      </c>
      <c r="C50" s="4">
        <v>1.99</v>
      </c>
      <c r="D50" s="52">
        <v>4</v>
      </c>
      <c r="E50" s="52">
        <v>3</v>
      </c>
      <c r="F50" s="5">
        <v>6</v>
      </c>
      <c r="G50" s="176">
        <v>4</v>
      </c>
      <c r="H50" s="179">
        <v>3</v>
      </c>
      <c r="I50" s="24" t="s">
        <v>64</v>
      </c>
      <c r="J50" s="24"/>
      <c r="K50" s="24"/>
      <c r="L50" s="24"/>
      <c r="M50" s="24"/>
      <c r="N50" s="24"/>
      <c r="O50" s="24"/>
      <c r="P50" s="24"/>
      <c r="Q50" s="24"/>
      <c r="R50" s="24" t="s">
        <v>78</v>
      </c>
      <c r="S50" s="24">
        <v>0.36</v>
      </c>
      <c r="T50" s="21">
        <v>0.4899301392891533</v>
      </c>
    </row>
    <row r="51" spans="1:20" x14ac:dyDescent="0.25">
      <c r="A51" s="24" t="s">
        <v>88</v>
      </c>
      <c r="B51" s="19">
        <v>0.49</v>
      </c>
      <c r="C51" s="4">
        <v>3.2</v>
      </c>
      <c r="D51" s="52">
        <v>1</v>
      </c>
      <c r="E51" s="52">
        <v>4</v>
      </c>
      <c r="F51" s="5">
        <v>4</v>
      </c>
      <c r="G51" s="176">
        <v>1</v>
      </c>
      <c r="H51" s="179">
        <v>4</v>
      </c>
      <c r="I51" s="24"/>
      <c r="J51" s="24"/>
      <c r="K51" s="24"/>
      <c r="L51" s="24"/>
      <c r="M51" s="24"/>
      <c r="N51" s="24"/>
      <c r="O51" s="24"/>
      <c r="P51" s="24"/>
      <c r="Q51" s="24"/>
      <c r="R51" s="24" t="s">
        <v>78</v>
      </c>
      <c r="S51" s="24">
        <v>0.49</v>
      </c>
      <c r="T51" s="21">
        <v>0.48372613621653315</v>
      </c>
    </row>
    <row r="52" spans="1:20" x14ac:dyDescent="0.25">
      <c r="A52" s="24" t="s">
        <v>89</v>
      </c>
      <c r="B52" s="3" t="s">
        <v>71</v>
      </c>
      <c r="C52" s="4" t="s">
        <v>71</v>
      </c>
      <c r="D52" s="52">
        <v>3</v>
      </c>
      <c r="E52" s="52">
        <v>4</v>
      </c>
      <c r="F52" s="5">
        <v>7</v>
      </c>
      <c r="G52" s="176">
        <v>5</v>
      </c>
      <c r="H52" s="179">
        <v>4</v>
      </c>
      <c r="I52" s="24"/>
      <c r="J52" s="24"/>
      <c r="K52" s="24"/>
      <c r="L52" s="24"/>
      <c r="M52" s="24"/>
      <c r="N52" s="24"/>
      <c r="O52" s="24"/>
      <c r="P52" s="24"/>
      <c r="Q52" s="24"/>
      <c r="R52" s="24" t="s">
        <v>78</v>
      </c>
      <c r="S52" s="24" t="s">
        <v>71</v>
      </c>
      <c r="T52" s="21">
        <v>0.45147209690684575</v>
      </c>
    </row>
    <row r="53" spans="1:20" x14ac:dyDescent="0.25">
      <c r="A53" s="24" t="s">
        <v>90</v>
      </c>
      <c r="B53" s="25">
        <v>0.17</v>
      </c>
      <c r="C53" s="4">
        <v>2.11</v>
      </c>
      <c r="D53" s="52">
        <v>5</v>
      </c>
      <c r="E53" s="52">
        <v>4</v>
      </c>
      <c r="F53" s="5">
        <v>6</v>
      </c>
      <c r="G53" s="176">
        <v>1</v>
      </c>
      <c r="H53" s="179">
        <v>4</v>
      </c>
      <c r="I53" s="24"/>
      <c r="J53" s="24"/>
      <c r="K53" s="24"/>
      <c r="L53" s="24"/>
      <c r="M53" s="24"/>
      <c r="N53" s="24"/>
      <c r="O53" s="24"/>
      <c r="P53" s="24"/>
      <c r="Q53" s="24"/>
      <c r="R53" s="24" t="s">
        <v>78</v>
      </c>
      <c r="S53" s="24">
        <v>0.17</v>
      </c>
      <c r="T53" s="21">
        <v>0.45128521797351706</v>
      </c>
    </row>
    <row r="54" spans="1:20" x14ac:dyDescent="0.25">
      <c r="A54" s="24" t="s">
        <v>91</v>
      </c>
      <c r="B54" s="3">
        <v>1</v>
      </c>
      <c r="C54" s="4">
        <v>2.0099999999999998</v>
      </c>
      <c r="D54" s="52">
        <v>5</v>
      </c>
      <c r="E54" s="52">
        <v>4</v>
      </c>
      <c r="F54" s="5">
        <v>6</v>
      </c>
      <c r="G54" s="176">
        <v>6</v>
      </c>
      <c r="H54" s="179">
        <v>3</v>
      </c>
      <c r="I54" s="24" t="s">
        <v>46</v>
      </c>
      <c r="J54" s="24"/>
      <c r="K54" s="24" t="s">
        <v>92</v>
      </c>
      <c r="L54" s="24"/>
      <c r="M54" s="24"/>
      <c r="N54" s="24"/>
      <c r="O54" s="24"/>
      <c r="P54" s="24"/>
      <c r="Q54" s="24"/>
      <c r="R54" s="24" t="s">
        <v>78</v>
      </c>
      <c r="S54" s="24">
        <v>1</v>
      </c>
      <c r="T54" s="21">
        <v>0.44900788089137056</v>
      </c>
    </row>
    <row r="55" spans="1:20" x14ac:dyDescent="0.25">
      <c r="A55" s="24" t="s">
        <v>93</v>
      </c>
      <c r="B55" s="19">
        <v>0.51</v>
      </c>
      <c r="C55" s="4">
        <v>1.94</v>
      </c>
      <c r="D55" s="52">
        <v>3</v>
      </c>
      <c r="E55" s="52">
        <v>4</v>
      </c>
      <c r="F55" s="5">
        <v>7</v>
      </c>
      <c r="G55" s="176">
        <v>6</v>
      </c>
      <c r="H55" s="179">
        <v>3</v>
      </c>
      <c r="I55" s="24"/>
      <c r="J55" s="24"/>
      <c r="K55" s="24"/>
      <c r="L55" s="24"/>
      <c r="M55" s="24"/>
      <c r="N55" s="24"/>
      <c r="O55" s="24"/>
      <c r="P55" s="24"/>
      <c r="Q55" s="24"/>
      <c r="R55" s="24" t="s">
        <v>78</v>
      </c>
      <c r="S55" s="24">
        <v>0.51</v>
      </c>
      <c r="T55" s="21">
        <v>0.43802887300904902</v>
      </c>
    </row>
    <row r="56" spans="1:20" x14ac:dyDescent="0.25">
      <c r="A56" s="24" t="s">
        <v>94</v>
      </c>
      <c r="B56" s="19">
        <v>0.56000000000000005</v>
      </c>
      <c r="C56" s="4">
        <v>4.7300000000000004</v>
      </c>
      <c r="D56" s="52">
        <v>4</v>
      </c>
      <c r="E56" s="52">
        <v>3</v>
      </c>
      <c r="F56" s="5">
        <v>6</v>
      </c>
      <c r="G56" s="176">
        <v>3</v>
      </c>
      <c r="H56" s="179">
        <v>3</v>
      </c>
      <c r="I56" s="24" t="s">
        <v>25</v>
      </c>
      <c r="J56" s="24"/>
      <c r="K56" s="24"/>
      <c r="L56" s="24"/>
      <c r="M56" s="24"/>
      <c r="N56" s="24"/>
      <c r="O56" s="24"/>
      <c r="P56" s="24"/>
      <c r="Q56" s="24"/>
      <c r="R56" s="24" t="s">
        <v>78</v>
      </c>
      <c r="S56" s="24">
        <v>0.56000000000000005</v>
      </c>
      <c r="T56" s="21">
        <v>0.4284579515752881</v>
      </c>
    </row>
    <row r="57" spans="1:20" x14ac:dyDescent="0.25">
      <c r="A57" s="24" t="s">
        <v>95</v>
      </c>
      <c r="B57" s="18">
        <v>0.28999999999999998</v>
      </c>
      <c r="C57" s="4">
        <v>2.74</v>
      </c>
      <c r="D57" s="52">
        <v>1</v>
      </c>
      <c r="E57" s="52">
        <v>3</v>
      </c>
      <c r="F57" s="5">
        <v>6</v>
      </c>
      <c r="G57" s="176">
        <v>4</v>
      </c>
      <c r="H57" s="179">
        <v>3</v>
      </c>
      <c r="I57" s="24" t="s">
        <v>46</v>
      </c>
      <c r="J57" s="24"/>
      <c r="K57" s="24"/>
      <c r="L57" s="24"/>
      <c r="M57" s="24"/>
      <c r="N57" s="24"/>
      <c r="O57" s="24"/>
      <c r="P57" s="24"/>
      <c r="Q57" s="24"/>
      <c r="R57" s="24" t="s">
        <v>78</v>
      </c>
      <c r="S57" s="24">
        <v>0.28999999999999998</v>
      </c>
      <c r="T57" s="22">
        <v>0.37054474347857191</v>
      </c>
    </row>
    <row r="58" spans="1:20" x14ac:dyDescent="0.25">
      <c r="A58" s="24" t="s">
        <v>96</v>
      </c>
      <c r="B58" s="14">
        <v>0.72</v>
      </c>
      <c r="C58" s="4">
        <v>1.91</v>
      </c>
      <c r="D58" s="52">
        <v>1</v>
      </c>
      <c r="E58" s="52">
        <v>4</v>
      </c>
      <c r="F58" s="5">
        <v>4</v>
      </c>
      <c r="G58" s="176">
        <v>2</v>
      </c>
      <c r="H58" s="179">
        <v>4</v>
      </c>
      <c r="I58" s="24"/>
      <c r="J58" s="24"/>
      <c r="K58" s="24"/>
      <c r="L58" s="24"/>
      <c r="M58" s="24"/>
      <c r="N58" s="24"/>
      <c r="O58" s="24"/>
      <c r="P58" s="24"/>
      <c r="Q58" s="24"/>
      <c r="R58" s="24" t="s">
        <v>78</v>
      </c>
      <c r="S58" s="24">
        <v>0.72</v>
      </c>
      <c r="T58" s="22">
        <v>0.36942610304322343</v>
      </c>
    </row>
    <row r="59" spans="1:20" x14ac:dyDescent="0.25">
      <c r="A59" s="24" t="s">
        <v>97</v>
      </c>
      <c r="B59" s="14">
        <v>0.77</v>
      </c>
      <c r="C59" s="4">
        <v>1.99</v>
      </c>
      <c r="D59" s="52">
        <v>1</v>
      </c>
      <c r="E59" s="52">
        <v>4</v>
      </c>
      <c r="F59" s="5">
        <v>6</v>
      </c>
      <c r="G59" s="176">
        <v>1</v>
      </c>
      <c r="H59" s="179">
        <v>3</v>
      </c>
      <c r="I59" s="24" t="s">
        <v>33</v>
      </c>
      <c r="J59" s="24"/>
      <c r="K59" s="24"/>
      <c r="L59" s="24"/>
      <c r="M59" s="24"/>
      <c r="N59" s="24"/>
      <c r="O59" s="24"/>
      <c r="P59" s="24"/>
      <c r="Q59" s="24"/>
      <c r="R59" s="24" t="s">
        <v>78</v>
      </c>
      <c r="S59" s="24">
        <v>0.77</v>
      </c>
      <c r="T59" s="22">
        <v>0.36569012825843555</v>
      </c>
    </row>
    <row r="60" spans="1:20" x14ac:dyDescent="0.25">
      <c r="A60" s="24" t="s">
        <v>98</v>
      </c>
      <c r="B60" s="18">
        <v>0.34</v>
      </c>
      <c r="C60" s="4">
        <v>1.84</v>
      </c>
      <c r="D60" s="52">
        <v>4</v>
      </c>
      <c r="E60" s="52">
        <v>4</v>
      </c>
      <c r="F60" s="5">
        <v>6</v>
      </c>
      <c r="G60" s="176">
        <v>3</v>
      </c>
      <c r="H60" s="179">
        <v>3</v>
      </c>
      <c r="I60" s="24" t="s">
        <v>46</v>
      </c>
      <c r="J60" s="24"/>
      <c r="K60" s="24"/>
      <c r="L60" s="24"/>
      <c r="M60" s="24"/>
      <c r="N60" s="24"/>
      <c r="O60" s="24"/>
      <c r="P60" s="24"/>
      <c r="Q60" s="24"/>
      <c r="R60" s="24" t="s">
        <v>78</v>
      </c>
      <c r="S60" s="24">
        <v>0.34</v>
      </c>
      <c r="T60" s="22">
        <v>0.36491832155495246</v>
      </c>
    </row>
    <row r="61" spans="1:20" x14ac:dyDescent="0.25">
      <c r="A61" s="24" t="s">
        <v>99</v>
      </c>
      <c r="B61" s="19">
        <v>0.54</v>
      </c>
      <c r="C61" s="4">
        <v>3.07</v>
      </c>
      <c r="D61" s="52">
        <v>4</v>
      </c>
      <c r="E61" s="52">
        <v>4</v>
      </c>
      <c r="F61" s="5">
        <v>7</v>
      </c>
      <c r="G61" s="176">
        <v>3</v>
      </c>
      <c r="H61" s="15"/>
      <c r="I61" s="24"/>
      <c r="J61" s="24"/>
      <c r="K61" s="24"/>
      <c r="L61" s="24"/>
      <c r="M61" s="24"/>
      <c r="N61" s="24"/>
      <c r="O61" s="24"/>
      <c r="P61" s="24"/>
      <c r="Q61" s="24"/>
      <c r="R61" s="24" t="s">
        <v>78</v>
      </c>
      <c r="S61" s="24">
        <v>0.54</v>
      </c>
      <c r="T61" s="22">
        <v>0.36484556115290667</v>
      </c>
    </row>
    <row r="62" spans="1:20" x14ac:dyDescent="0.25">
      <c r="A62" s="24" t="s">
        <v>100</v>
      </c>
      <c r="B62" s="18">
        <v>0.34</v>
      </c>
      <c r="C62" s="4">
        <v>1.9</v>
      </c>
      <c r="D62" s="52">
        <v>4</v>
      </c>
      <c r="E62" s="52">
        <v>4</v>
      </c>
      <c r="F62" s="5">
        <v>4</v>
      </c>
      <c r="G62" s="176">
        <v>2</v>
      </c>
      <c r="H62" s="179">
        <v>3</v>
      </c>
      <c r="I62" s="24"/>
      <c r="J62" s="24"/>
      <c r="K62" s="24"/>
      <c r="L62" s="24"/>
      <c r="M62" s="24"/>
      <c r="N62" s="24"/>
      <c r="O62" s="24"/>
      <c r="P62" s="24"/>
      <c r="Q62" s="24"/>
      <c r="R62" s="24" t="s">
        <v>78</v>
      </c>
      <c r="S62" s="24">
        <v>0.34</v>
      </c>
      <c r="T62" s="22">
        <v>0.35614016292673734</v>
      </c>
    </row>
    <row r="63" spans="1:20" x14ac:dyDescent="0.25">
      <c r="A63" s="24" t="s">
        <v>101</v>
      </c>
      <c r="B63" s="3">
        <v>0.97</v>
      </c>
      <c r="C63" s="4">
        <v>1.95</v>
      </c>
      <c r="D63" s="52">
        <v>3</v>
      </c>
      <c r="E63" s="52">
        <v>4</v>
      </c>
      <c r="F63" s="5">
        <v>7</v>
      </c>
      <c r="G63" s="176">
        <v>6</v>
      </c>
      <c r="H63" s="179">
        <v>2</v>
      </c>
      <c r="I63" s="24"/>
      <c r="J63" s="24" t="s">
        <v>92</v>
      </c>
      <c r="K63" s="24"/>
      <c r="L63" s="24"/>
      <c r="M63" s="24"/>
      <c r="N63" s="24"/>
      <c r="O63" s="24"/>
      <c r="P63" s="24"/>
      <c r="Q63" s="24"/>
      <c r="R63" s="24" t="s">
        <v>78</v>
      </c>
      <c r="S63" s="24">
        <v>0.97</v>
      </c>
      <c r="T63" s="22">
        <v>0.34991487751522954</v>
      </c>
    </row>
    <row r="64" spans="1:20" x14ac:dyDescent="0.25">
      <c r="A64" s="24" t="s">
        <v>102</v>
      </c>
      <c r="B64" s="14">
        <v>0.77</v>
      </c>
      <c r="C64" s="4">
        <v>2</v>
      </c>
      <c r="D64" s="52">
        <v>4</v>
      </c>
      <c r="E64" s="52">
        <v>3</v>
      </c>
      <c r="F64" s="5">
        <v>6</v>
      </c>
      <c r="G64" s="176">
        <v>1</v>
      </c>
      <c r="H64" s="179">
        <v>3</v>
      </c>
      <c r="I64" s="24" t="s">
        <v>33</v>
      </c>
      <c r="J64" s="24"/>
      <c r="K64" s="24"/>
      <c r="L64" s="24"/>
      <c r="M64" s="24"/>
      <c r="N64" s="24"/>
      <c r="O64" s="24"/>
      <c r="P64" s="24"/>
      <c r="Q64" s="24"/>
      <c r="R64" s="24" t="s">
        <v>78</v>
      </c>
      <c r="S64" s="24">
        <v>0.77</v>
      </c>
      <c r="T64" s="22">
        <v>0.34769831320811162</v>
      </c>
    </row>
    <row r="65" spans="1:20" x14ac:dyDescent="0.25">
      <c r="A65" s="24" t="s">
        <v>103</v>
      </c>
      <c r="B65" s="19">
        <v>0.45</v>
      </c>
      <c r="C65" s="4">
        <v>5.24</v>
      </c>
      <c r="D65" s="52">
        <v>1</v>
      </c>
      <c r="E65" s="52">
        <v>3</v>
      </c>
      <c r="F65" s="5">
        <v>4</v>
      </c>
      <c r="G65" s="176">
        <v>3</v>
      </c>
      <c r="H65" s="179">
        <v>4</v>
      </c>
      <c r="I65" s="24"/>
      <c r="J65" s="24"/>
      <c r="K65" s="24"/>
      <c r="L65" s="24"/>
      <c r="M65" s="24"/>
      <c r="N65" s="24"/>
      <c r="O65" s="24" t="s">
        <v>46</v>
      </c>
      <c r="P65" s="24"/>
      <c r="Q65" s="24"/>
      <c r="R65" s="24" t="s">
        <v>78</v>
      </c>
      <c r="S65" s="24">
        <v>0.45</v>
      </c>
      <c r="T65" s="22">
        <v>0.34681092438128674</v>
      </c>
    </row>
    <row r="66" spans="1:20" x14ac:dyDescent="0.25">
      <c r="A66" s="24" t="s">
        <v>104</v>
      </c>
      <c r="B66" s="19">
        <v>0.55000000000000004</v>
      </c>
      <c r="C66" s="4">
        <v>1.94</v>
      </c>
      <c r="D66" s="52">
        <v>4</v>
      </c>
      <c r="E66" s="52">
        <v>3</v>
      </c>
      <c r="F66" s="5">
        <v>6</v>
      </c>
      <c r="G66" s="176">
        <v>6</v>
      </c>
      <c r="H66" s="15"/>
      <c r="I66" s="24"/>
      <c r="J66" s="24"/>
      <c r="K66" s="24"/>
      <c r="L66" s="24"/>
      <c r="M66" s="24"/>
      <c r="N66" s="24"/>
      <c r="O66" s="24"/>
      <c r="P66" s="24"/>
      <c r="Q66" s="24"/>
      <c r="R66" s="24" t="s">
        <v>78</v>
      </c>
      <c r="S66" s="24">
        <v>0.55000000000000004</v>
      </c>
      <c r="T66" s="22">
        <v>0.34459833800605055</v>
      </c>
    </row>
    <row r="67" spans="1:20" x14ac:dyDescent="0.25">
      <c r="A67" s="24" t="s">
        <v>105</v>
      </c>
      <c r="B67" s="14">
        <v>0.6</v>
      </c>
      <c r="C67" s="4">
        <v>4.67</v>
      </c>
      <c r="D67" s="52">
        <v>4</v>
      </c>
      <c r="E67" s="52">
        <v>3</v>
      </c>
      <c r="F67" s="5">
        <v>6</v>
      </c>
      <c r="G67" s="176">
        <v>5</v>
      </c>
      <c r="H67" s="179">
        <v>3</v>
      </c>
      <c r="I67" s="24" t="s">
        <v>46</v>
      </c>
      <c r="J67" s="24"/>
      <c r="K67" s="24"/>
      <c r="L67" s="24"/>
      <c r="M67" s="24"/>
      <c r="N67" s="24"/>
      <c r="O67" s="24"/>
      <c r="P67" s="24"/>
      <c r="Q67" s="24"/>
      <c r="R67" s="24" t="s">
        <v>78</v>
      </c>
      <c r="S67" s="24">
        <v>0.6</v>
      </c>
      <c r="T67" s="22">
        <v>0.34404064203491058</v>
      </c>
    </row>
    <row r="68" spans="1:20" x14ac:dyDescent="0.25">
      <c r="A68" s="24" t="s">
        <v>106</v>
      </c>
      <c r="B68" s="19">
        <v>0.4</v>
      </c>
      <c r="C68" s="4">
        <v>2.15</v>
      </c>
      <c r="D68" s="52">
        <v>1</v>
      </c>
      <c r="E68" s="52">
        <v>4</v>
      </c>
      <c r="F68" s="5">
        <v>6</v>
      </c>
      <c r="G68" s="176">
        <v>3</v>
      </c>
      <c r="H68" s="179">
        <v>4</v>
      </c>
      <c r="I68" s="24"/>
      <c r="J68" s="24"/>
      <c r="K68" s="24"/>
      <c r="L68" s="24"/>
      <c r="M68" s="24"/>
      <c r="N68" s="24"/>
      <c r="O68" s="24"/>
      <c r="P68" s="24"/>
      <c r="Q68" s="24"/>
      <c r="R68" s="24" t="s">
        <v>78</v>
      </c>
      <c r="S68" s="24">
        <v>0.4</v>
      </c>
      <c r="T68" s="22">
        <v>0.32484943851022402</v>
      </c>
    </row>
    <row r="69" spans="1:20" x14ac:dyDescent="0.25">
      <c r="A69" s="24" t="s">
        <v>107</v>
      </c>
      <c r="B69" s="19">
        <v>0.41</v>
      </c>
      <c r="C69" s="4">
        <v>2.2400000000000002</v>
      </c>
      <c r="D69" s="52">
        <v>3</v>
      </c>
      <c r="E69" s="52">
        <v>4</v>
      </c>
      <c r="F69" s="5">
        <v>4</v>
      </c>
      <c r="G69" s="176">
        <v>6</v>
      </c>
      <c r="H69" s="179">
        <v>3</v>
      </c>
      <c r="I69" s="24"/>
      <c r="J69" s="24"/>
      <c r="K69" s="24"/>
      <c r="L69" s="24"/>
      <c r="M69" s="24"/>
      <c r="N69" s="24"/>
      <c r="O69" s="24"/>
      <c r="P69" s="24"/>
      <c r="Q69" s="24"/>
      <c r="R69" s="24" t="s">
        <v>78</v>
      </c>
      <c r="S69" s="24">
        <v>0.41</v>
      </c>
      <c r="T69" s="22">
        <v>0.3239442445958477</v>
      </c>
    </row>
    <row r="70" spans="1:20" x14ac:dyDescent="0.25">
      <c r="A70" s="24" t="s">
        <v>108</v>
      </c>
      <c r="B70" s="3">
        <v>0.85</v>
      </c>
      <c r="C70" s="4">
        <v>2.5499999999999998</v>
      </c>
      <c r="D70" s="52">
        <v>1</v>
      </c>
      <c r="E70" s="52">
        <v>4</v>
      </c>
      <c r="F70" s="5">
        <v>7</v>
      </c>
      <c r="G70" s="176">
        <v>1</v>
      </c>
      <c r="H70" s="179">
        <v>3</v>
      </c>
      <c r="I70" s="24" t="s">
        <v>46</v>
      </c>
      <c r="J70" s="24"/>
      <c r="K70" s="24" t="s">
        <v>109</v>
      </c>
      <c r="L70" s="24"/>
      <c r="M70" s="24"/>
      <c r="N70" s="24" t="s">
        <v>46</v>
      </c>
      <c r="O70" s="24"/>
      <c r="P70" s="24"/>
      <c r="Q70" s="24"/>
      <c r="R70" s="24" t="s">
        <v>78</v>
      </c>
      <c r="S70" s="24">
        <v>0.85</v>
      </c>
      <c r="T70" s="22">
        <v>0.31347759772323547</v>
      </c>
    </row>
    <row r="71" spans="1:20" x14ac:dyDescent="0.25">
      <c r="A71" s="24" t="s">
        <v>110</v>
      </c>
      <c r="B71" s="18">
        <v>0.25</v>
      </c>
      <c r="C71" s="4">
        <v>3.71</v>
      </c>
      <c r="D71" s="52">
        <v>4</v>
      </c>
      <c r="E71" s="52">
        <v>4</v>
      </c>
      <c r="F71" s="5">
        <v>7</v>
      </c>
      <c r="G71" s="176">
        <v>6</v>
      </c>
      <c r="H71" s="15"/>
      <c r="I71" s="24"/>
      <c r="J71" s="24"/>
      <c r="K71" s="24"/>
      <c r="L71" s="24"/>
      <c r="M71" s="24"/>
      <c r="N71" s="24"/>
      <c r="O71" s="24"/>
      <c r="P71" s="24"/>
      <c r="Q71" s="24"/>
      <c r="R71" s="24" t="s">
        <v>78</v>
      </c>
      <c r="S71" s="24">
        <v>0.25</v>
      </c>
      <c r="T71" s="22">
        <v>0.30815245034547489</v>
      </c>
    </row>
    <row r="72" spans="1:20" x14ac:dyDescent="0.25">
      <c r="A72" s="24" t="s">
        <v>111</v>
      </c>
      <c r="B72" s="18">
        <v>0.36</v>
      </c>
      <c r="C72" s="4">
        <v>2.1800000000000002</v>
      </c>
      <c r="D72" s="52">
        <v>5</v>
      </c>
      <c r="E72" s="52">
        <v>4</v>
      </c>
      <c r="F72" s="5">
        <v>6</v>
      </c>
      <c r="G72" s="176">
        <v>3</v>
      </c>
      <c r="H72" s="179">
        <v>4</v>
      </c>
      <c r="I72" s="24"/>
      <c r="J72" s="24"/>
      <c r="K72" s="24"/>
      <c r="L72" s="24"/>
      <c r="M72" s="24"/>
      <c r="N72" s="24" t="s">
        <v>46</v>
      </c>
      <c r="O72" s="24"/>
      <c r="P72" s="24"/>
      <c r="Q72" s="24"/>
      <c r="R72" s="24" t="s">
        <v>78</v>
      </c>
      <c r="S72" s="24">
        <v>0.36</v>
      </c>
      <c r="T72" s="22">
        <v>0.30439635790358199</v>
      </c>
    </row>
    <row r="73" spans="1:20" x14ac:dyDescent="0.25">
      <c r="A73" s="24" t="s">
        <v>112</v>
      </c>
      <c r="B73" s="3">
        <v>0.89</v>
      </c>
      <c r="C73" s="4">
        <v>2.04</v>
      </c>
      <c r="D73" s="52">
        <v>1</v>
      </c>
      <c r="E73" s="52">
        <v>4</v>
      </c>
      <c r="F73" s="5">
        <v>4</v>
      </c>
      <c r="G73" s="176">
        <v>2</v>
      </c>
      <c r="H73" s="179">
        <v>3</v>
      </c>
      <c r="I73" s="24"/>
      <c r="J73" s="24"/>
      <c r="K73" s="24"/>
      <c r="L73" s="24"/>
      <c r="M73" s="24"/>
      <c r="N73" s="24"/>
      <c r="O73" s="24"/>
      <c r="P73" s="24"/>
      <c r="Q73" s="24"/>
      <c r="R73" s="24" t="s">
        <v>78</v>
      </c>
      <c r="S73" s="24">
        <v>0.89</v>
      </c>
      <c r="T73" s="22">
        <v>0.2880563088337017</v>
      </c>
    </row>
    <row r="74" spans="1:20" x14ac:dyDescent="0.25">
      <c r="A74" s="24" t="s">
        <v>113</v>
      </c>
      <c r="B74" s="3">
        <v>1</v>
      </c>
      <c r="C74" s="4">
        <v>3.91</v>
      </c>
      <c r="D74" s="52">
        <v>3</v>
      </c>
      <c r="E74" s="52">
        <v>4</v>
      </c>
      <c r="F74" s="5">
        <v>7</v>
      </c>
      <c r="G74" s="176">
        <v>2</v>
      </c>
      <c r="H74" s="179">
        <v>4</v>
      </c>
      <c r="I74" s="24"/>
      <c r="J74" s="24"/>
      <c r="K74" s="24"/>
      <c r="L74" s="24" t="s">
        <v>46</v>
      </c>
      <c r="M74" s="24"/>
      <c r="N74" s="24"/>
      <c r="O74" s="24"/>
      <c r="P74" s="24"/>
      <c r="Q74" s="24"/>
      <c r="R74" s="24" t="s">
        <v>78</v>
      </c>
      <c r="S74" s="24">
        <v>1</v>
      </c>
      <c r="T74" s="22">
        <v>0.28486447518723468</v>
      </c>
    </row>
    <row r="75" spans="1:20" x14ac:dyDescent="0.25">
      <c r="A75" s="24" t="s">
        <v>114</v>
      </c>
      <c r="B75" s="3">
        <v>0.96</v>
      </c>
      <c r="C75" s="4">
        <v>3.74</v>
      </c>
      <c r="D75" s="52">
        <v>3</v>
      </c>
      <c r="E75" s="52">
        <v>4</v>
      </c>
      <c r="F75" s="5">
        <v>6</v>
      </c>
      <c r="G75" s="176">
        <v>3</v>
      </c>
      <c r="H75" s="179">
        <v>4</v>
      </c>
      <c r="I75" s="24" t="s">
        <v>64</v>
      </c>
      <c r="J75" s="24"/>
      <c r="K75" s="24"/>
      <c r="L75" s="24"/>
      <c r="M75" s="24"/>
      <c r="N75" s="24"/>
      <c r="O75" s="24"/>
      <c r="P75" s="24"/>
      <c r="Q75" s="24"/>
      <c r="R75" s="24" t="s">
        <v>78</v>
      </c>
      <c r="S75" s="24">
        <v>0.96</v>
      </c>
      <c r="T75" s="22">
        <v>0.28200811326554409</v>
      </c>
    </row>
    <row r="76" spans="1:20" x14ac:dyDescent="0.25">
      <c r="A76" s="24" t="s">
        <v>115</v>
      </c>
      <c r="B76" s="14">
        <v>0.69</v>
      </c>
      <c r="C76" s="4">
        <v>4.03</v>
      </c>
      <c r="D76" s="52">
        <v>1</v>
      </c>
      <c r="E76" s="52">
        <v>4</v>
      </c>
      <c r="F76" s="5">
        <v>4</v>
      </c>
      <c r="G76" s="176">
        <v>2</v>
      </c>
      <c r="H76" s="15"/>
      <c r="I76" s="24"/>
      <c r="J76" s="24"/>
      <c r="K76" s="24"/>
      <c r="L76" s="24"/>
      <c r="M76" s="24"/>
      <c r="N76" s="24"/>
      <c r="O76" s="24"/>
      <c r="P76" s="24"/>
      <c r="Q76" s="24"/>
      <c r="R76" s="24" t="s">
        <v>78</v>
      </c>
      <c r="S76" s="24">
        <v>0.69</v>
      </c>
      <c r="T76" s="22">
        <v>0.28175429629544402</v>
      </c>
    </row>
    <row r="77" spans="1:20" x14ac:dyDescent="0.25">
      <c r="A77" s="24" t="s">
        <v>116</v>
      </c>
      <c r="B77" s="3">
        <v>0.86</v>
      </c>
      <c r="C77" s="4">
        <v>1.99</v>
      </c>
      <c r="D77" s="52">
        <v>1</v>
      </c>
      <c r="E77" s="52">
        <v>4</v>
      </c>
      <c r="F77" s="5">
        <v>4</v>
      </c>
      <c r="G77" s="176">
        <v>1</v>
      </c>
      <c r="H77" s="179">
        <v>3</v>
      </c>
      <c r="I77" s="24"/>
      <c r="J77" s="24"/>
      <c r="K77" s="24"/>
      <c r="L77" s="24"/>
      <c r="M77" s="24"/>
      <c r="N77" s="24" t="s">
        <v>33</v>
      </c>
      <c r="O77" s="24"/>
      <c r="P77" s="24"/>
      <c r="Q77" s="24"/>
      <c r="R77" s="24" t="s">
        <v>78</v>
      </c>
      <c r="S77" s="24">
        <v>0.86</v>
      </c>
      <c r="T77" s="22">
        <v>0.28065393055665888</v>
      </c>
    </row>
    <row r="78" spans="1:20" x14ac:dyDescent="0.25">
      <c r="A78" s="24" t="s">
        <v>117</v>
      </c>
      <c r="B78" s="3">
        <v>1</v>
      </c>
      <c r="C78" s="4">
        <v>3.59</v>
      </c>
      <c r="D78" s="52">
        <v>1</v>
      </c>
      <c r="E78" s="52">
        <v>4</v>
      </c>
      <c r="F78" s="5">
        <v>4</v>
      </c>
      <c r="G78" s="176">
        <v>1</v>
      </c>
      <c r="H78" s="179">
        <v>5</v>
      </c>
      <c r="I78" s="24"/>
      <c r="J78" s="24"/>
      <c r="K78" s="24"/>
      <c r="L78" s="24"/>
      <c r="M78" s="24"/>
      <c r="N78" s="24"/>
      <c r="O78" s="24"/>
      <c r="P78" s="24"/>
      <c r="Q78" s="24"/>
      <c r="R78" s="24" t="s">
        <v>78</v>
      </c>
      <c r="S78" s="24">
        <v>1</v>
      </c>
      <c r="T78" s="22">
        <v>0.27664114565517262</v>
      </c>
    </row>
    <row r="79" spans="1:20" x14ac:dyDescent="0.25">
      <c r="A79" s="24" t="s">
        <v>118</v>
      </c>
      <c r="B79" s="19">
        <v>0.51</v>
      </c>
      <c r="C79" s="4">
        <v>3.42</v>
      </c>
      <c r="D79" s="52">
        <v>1</v>
      </c>
      <c r="E79" s="52">
        <v>4</v>
      </c>
      <c r="F79" s="5">
        <v>7</v>
      </c>
      <c r="G79" s="176">
        <v>2</v>
      </c>
      <c r="H79" s="15"/>
      <c r="I79" s="24"/>
      <c r="J79" s="24"/>
      <c r="K79" s="24"/>
      <c r="L79" s="24"/>
      <c r="M79" s="24"/>
      <c r="N79" s="24" t="s">
        <v>46</v>
      </c>
      <c r="O79" s="24"/>
      <c r="P79" s="24"/>
      <c r="Q79" s="24"/>
      <c r="R79" s="24" t="s">
        <v>78</v>
      </c>
      <c r="S79" s="24">
        <v>0.51</v>
      </c>
      <c r="T79" s="22">
        <v>0.27547419533158884</v>
      </c>
    </row>
    <row r="80" spans="1:20" x14ac:dyDescent="0.25">
      <c r="A80" s="24" t="s">
        <v>119</v>
      </c>
      <c r="B80" s="14">
        <v>0.73</v>
      </c>
      <c r="C80" s="4">
        <v>2.29</v>
      </c>
      <c r="D80" s="52">
        <v>1</v>
      </c>
      <c r="E80" s="52">
        <v>4</v>
      </c>
      <c r="F80" s="5">
        <v>7</v>
      </c>
      <c r="G80" s="176">
        <v>2</v>
      </c>
      <c r="H80" s="179">
        <v>3</v>
      </c>
      <c r="I80" s="24"/>
      <c r="J80" s="24"/>
      <c r="K80" s="24"/>
      <c r="L80" s="24"/>
      <c r="M80" s="24"/>
      <c r="N80" s="24"/>
      <c r="O80" s="24"/>
      <c r="P80" s="24"/>
      <c r="Q80" s="24"/>
      <c r="R80" s="24" t="s">
        <v>78</v>
      </c>
      <c r="S80" s="24">
        <v>0.73</v>
      </c>
      <c r="T80" s="22">
        <v>0.27267035551360608</v>
      </c>
    </row>
    <row r="81" spans="1:20" x14ac:dyDescent="0.25">
      <c r="A81" s="24" t="s">
        <v>120</v>
      </c>
      <c r="B81" s="18">
        <v>0.26</v>
      </c>
      <c r="C81" s="4">
        <v>5.0999999999999996</v>
      </c>
      <c r="D81" s="52">
        <v>4</v>
      </c>
      <c r="E81" s="52">
        <v>3</v>
      </c>
      <c r="F81" s="5">
        <v>6</v>
      </c>
      <c r="G81" s="176">
        <v>2</v>
      </c>
      <c r="H81" s="179">
        <v>4</v>
      </c>
      <c r="I81" s="24" t="s">
        <v>46</v>
      </c>
      <c r="J81" s="24"/>
      <c r="K81" s="24"/>
      <c r="L81" s="24"/>
      <c r="M81" s="24"/>
      <c r="N81" s="24"/>
      <c r="O81" s="24" t="s">
        <v>46</v>
      </c>
      <c r="P81" s="24"/>
      <c r="Q81" s="24"/>
      <c r="R81" s="24" t="s">
        <v>78</v>
      </c>
      <c r="S81" s="24">
        <v>0.26</v>
      </c>
      <c r="T81" s="22">
        <v>0.27144689887650064</v>
      </c>
    </row>
    <row r="82" spans="1:20" x14ac:dyDescent="0.25">
      <c r="A82" s="24" t="s">
        <v>121</v>
      </c>
      <c r="B82" s="18">
        <v>0.34</v>
      </c>
      <c r="C82" s="4">
        <v>3.67</v>
      </c>
      <c r="D82" s="52">
        <v>4</v>
      </c>
      <c r="E82" s="52">
        <v>4</v>
      </c>
      <c r="F82" s="5">
        <v>7</v>
      </c>
      <c r="G82" s="176">
        <v>3</v>
      </c>
      <c r="H82" s="15"/>
      <c r="I82" s="24" t="s">
        <v>33</v>
      </c>
      <c r="J82" s="24"/>
      <c r="K82" s="24"/>
      <c r="L82" s="24"/>
      <c r="M82" s="24"/>
      <c r="N82" s="24"/>
      <c r="O82" s="24"/>
      <c r="P82" s="24"/>
      <c r="Q82" s="24"/>
      <c r="R82" s="24" t="s">
        <v>78</v>
      </c>
      <c r="S82" s="24">
        <v>0.34</v>
      </c>
      <c r="T82" s="22">
        <v>0.26124822178367446</v>
      </c>
    </row>
    <row r="83" spans="1:20" x14ac:dyDescent="0.25">
      <c r="A83" s="24" t="s">
        <v>122</v>
      </c>
      <c r="B83" s="3">
        <v>0.84</v>
      </c>
      <c r="C83" s="4">
        <v>2.09</v>
      </c>
      <c r="D83" s="52">
        <v>4</v>
      </c>
      <c r="E83" s="52">
        <v>4</v>
      </c>
      <c r="F83" s="5">
        <v>6</v>
      </c>
      <c r="G83" s="176">
        <v>3</v>
      </c>
      <c r="H83" s="179">
        <v>3</v>
      </c>
      <c r="I83" s="24" t="s">
        <v>46</v>
      </c>
      <c r="J83" s="24"/>
      <c r="K83" s="24"/>
      <c r="L83" s="24"/>
      <c r="M83" s="24"/>
      <c r="N83" s="24"/>
      <c r="O83" s="24"/>
      <c r="P83" s="24"/>
      <c r="Q83" s="24"/>
      <c r="R83" s="24" t="s">
        <v>78</v>
      </c>
      <c r="S83" s="24">
        <v>0.84</v>
      </c>
      <c r="T83" s="22">
        <v>0.25717026449001618</v>
      </c>
    </row>
    <row r="84" spans="1:20" x14ac:dyDescent="0.25">
      <c r="A84" s="24" t="s">
        <v>123</v>
      </c>
      <c r="B84" s="3">
        <v>0.92</v>
      </c>
      <c r="C84" s="4">
        <v>3.48</v>
      </c>
      <c r="D84" s="52">
        <v>4</v>
      </c>
      <c r="E84" s="52">
        <v>4</v>
      </c>
      <c r="F84" s="5">
        <v>6</v>
      </c>
      <c r="G84" s="176">
        <v>1</v>
      </c>
      <c r="H84" s="179">
        <v>5</v>
      </c>
      <c r="I84" s="24" t="s">
        <v>46</v>
      </c>
      <c r="J84" s="24"/>
      <c r="K84" s="24"/>
      <c r="L84" s="24"/>
      <c r="M84" s="24"/>
      <c r="N84" s="24"/>
      <c r="O84" s="24"/>
      <c r="P84" s="24"/>
      <c r="Q84" s="24"/>
      <c r="R84" s="24" t="s">
        <v>78</v>
      </c>
      <c r="S84" s="24">
        <v>0.92</v>
      </c>
      <c r="T84" s="22">
        <v>0.25100467167029561</v>
      </c>
    </row>
    <row r="85" spans="1:20" x14ac:dyDescent="0.25">
      <c r="A85" s="24" t="s">
        <v>124</v>
      </c>
      <c r="B85" s="3" t="s">
        <v>71</v>
      </c>
      <c r="C85" s="4" t="s">
        <v>71</v>
      </c>
      <c r="D85" s="52">
        <v>3</v>
      </c>
      <c r="E85" s="52">
        <v>4</v>
      </c>
      <c r="F85" s="5">
        <v>7</v>
      </c>
      <c r="G85" s="176">
        <v>6</v>
      </c>
      <c r="H85" s="179">
        <v>4</v>
      </c>
      <c r="I85" s="24"/>
      <c r="J85" s="24"/>
      <c r="K85" s="24"/>
      <c r="L85" s="24"/>
      <c r="M85" s="24"/>
      <c r="N85" s="24"/>
      <c r="O85" s="24"/>
      <c r="P85" s="24"/>
      <c r="Q85" s="24"/>
      <c r="R85" s="24" t="s">
        <v>78</v>
      </c>
      <c r="S85" s="24" t="s">
        <v>71</v>
      </c>
      <c r="T85" s="22">
        <v>0.25063180792153672</v>
      </c>
    </row>
    <row r="86" spans="1:20" x14ac:dyDescent="0.25">
      <c r="A86" s="24" t="s">
        <v>125</v>
      </c>
      <c r="B86" s="14">
        <v>0.6</v>
      </c>
      <c r="C86" s="4">
        <v>3.21</v>
      </c>
      <c r="D86" s="52">
        <v>1</v>
      </c>
      <c r="E86" s="52">
        <v>4</v>
      </c>
      <c r="F86" s="5">
        <v>7</v>
      </c>
      <c r="G86" s="176">
        <v>2</v>
      </c>
      <c r="H86" s="179">
        <v>4</v>
      </c>
      <c r="I86" s="24" t="s">
        <v>33</v>
      </c>
      <c r="J86" s="24"/>
      <c r="K86" s="24"/>
      <c r="L86" s="24" t="s">
        <v>33</v>
      </c>
      <c r="M86" s="24"/>
      <c r="N86" s="24"/>
      <c r="O86" s="24"/>
      <c r="P86" s="24"/>
      <c r="Q86" s="24"/>
      <c r="R86" s="24" t="s">
        <v>78</v>
      </c>
      <c r="S86" s="24">
        <v>0.6</v>
      </c>
      <c r="T86" s="22">
        <v>0.2504661103854629</v>
      </c>
    </row>
    <row r="87" spans="1:20" x14ac:dyDescent="0.25">
      <c r="A87" s="24" t="s">
        <v>126</v>
      </c>
      <c r="B87" s="3">
        <v>0.95</v>
      </c>
      <c r="C87" s="4">
        <v>1.95</v>
      </c>
      <c r="D87" s="52">
        <v>3</v>
      </c>
      <c r="E87" s="52">
        <v>4</v>
      </c>
      <c r="F87" s="5">
        <v>6</v>
      </c>
      <c r="G87" s="176">
        <v>6</v>
      </c>
      <c r="H87" s="179">
        <v>5</v>
      </c>
      <c r="I87" s="24"/>
      <c r="J87" s="24"/>
      <c r="K87" s="24"/>
      <c r="L87" s="24"/>
      <c r="M87" s="24"/>
      <c r="N87" s="24"/>
      <c r="O87" s="24"/>
      <c r="P87" s="24"/>
      <c r="Q87" s="24"/>
      <c r="R87" s="24" t="s">
        <v>78</v>
      </c>
      <c r="S87" s="24">
        <v>0.95</v>
      </c>
      <c r="T87" s="22">
        <v>0.24984760151894331</v>
      </c>
    </row>
    <row r="88" spans="1:20" x14ac:dyDescent="0.25">
      <c r="A88" s="24" t="s">
        <v>127</v>
      </c>
      <c r="B88" s="3">
        <v>0.98</v>
      </c>
      <c r="C88" s="4">
        <v>4.1399999999999997</v>
      </c>
      <c r="D88" s="52">
        <v>5</v>
      </c>
      <c r="E88" s="52">
        <v>4</v>
      </c>
      <c r="F88" s="5">
        <v>5</v>
      </c>
      <c r="G88" s="176">
        <v>3</v>
      </c>
      <c r="H88" s="179">
        <v>4</v>
      </c>
      <c r="I88" s="24"/>
      <c r="J88" s="24"/>
      <c r="K88" s="24"/>
      <c r="L88" s="24"/>
      <c r="M88" s="24"/>
      <c r="N88" s="24"/>
      <c r="O88" s="24"/>
      <c r="P88" s="24"/>
      <c r="Q88" s="24"/>
      <c r="R88" s="24" t="s">
        <v>78</v>
      </c>
      <c r="S88" s="24">
        <v>0.98</v>
      </c>
      <c r="T88" s="22">
        <v>0.24768577415122126</v>
      </c>
    </row>
    <row r="89" spans="1:20" x14ac:dyDescent="0.25">
      <c r="A89" s="24" t="s">
        <v>128</v>
      </c>
      <c r="B89" s="14">
        <v>0.72</v>
      </c>
      <c r="C89" s="4">
        <v>2.04</v>
      </c>
      <c r="D89" s="52">
        <v>4</v>
      </c>
      <c r="E89" s="52">
        <v>4</v>
      </c>
      <c r="F89" s="5">
        <v>7</v>
      </c>
      <c r="G89" s="176">
        <v>3</v>
      </c>
      <c r="H89" s="179">
        <v>3</v>
      </c>
      <c r="I89" s="24" t="s">
        <v>46</v>
      </c>
      <c r="J89" s="24"/>
      <c r="K89" s="24" t="s">
        <v>109</v>
      </c>
      <c r="L89" s="24"/>
      <c r="M89" s="24"/>
      <c r="N89" s="24"/>
      <c r="O89" s="24"/>
      <c r="P89" s="24"/>
      <c r="Q89" s="24"/>
      <c r="R89" s="24" t="s">
        <v>78</v>
      </c>
      <c r="S89" s="24">
        <v>0.72</v>
      </c>
      <c r="T89" s="22">
        <v>0.24722004485208887</v>
      </c>
    </row>
    <row r="90" spans="1:20" x14ac:dyDescent="0.25">
      <c r="A90" s="24" t="s">
        <v>129</v>
      </c>
      <c r="B90" s="19">
        <v>0.57999999999999996</v>
      </c>
      <c r="C90" s="4">
        <v>6.46</v>
      </c>
      <c r="D90" s="52">
        <v>1</v>
      </c>
      <c r="E90" s="52">
        <v>4</v>
      </c>
      <c r="F90" s="5">
        <v>4</v>
      </c>
      <c r="G90" s="176">
        <v>3</v>
      </c>
      <c r="H90" s="179">
        <v>3</v>
      </c>
      <c r="I90" s="24" t="s">
        <v>33</v>
      </c>
      <c r="J90" s="24"/>
      <c r="K90" s="24"/>
      <c r="L90" s="24"/>
      <c r="M90" s="24"/>
      <c r="N90" s="24"/>
      <c r="O90" s="24"/>
      <c r="P90" s="24"/>
      <c r="Q90" s="24"/>
      <c r="R90" s="24" t="s">
        <v>78</v>
      </c>
      <c r="S90" s="24">
        <v>0.57999999999999996</v>
      </c>
      <c r="T90" s="22">
        <v>0.24240808827440913</v>
      </c>
    </row>
    <row r="91" spans="1:20" x14ac:dyDescent="0.25">
      <c r="A91" s="24" t="s">
        <v>130</v>
      </c>
      <c r="B91" s="14">
        <v>0.69</v>
      </c>
      <c r="C91" s="4">
        <v>1.98</v>
      </c>
      <c r="D91" s="52">
        <v>4</v>
      </c>
      <c r="E91" s="52">
        <v>4</v>
      </c>
      <c r="F91" s="5">
        <v>6</v>
      </c>
      <c r="G91" s="176">
        <v>3</v>
      </c>
      <c r="H91" s="15"/>
      <c r="I91" s="24" t="s">
        <v>46</v>
      </c>
      <c r="J91" s="24"/>
      <c r="K91" s="24"/>
      <c r="L91" s="24"/>
      <c r="M91" s="24"/>
      <c r="N91" s="24"/>
      <c r="O91" s="24"/>
      <c r="P91" s="24"/>
      <c r="Q91" s="24"/>
      <c r="R91" s="24" t="s">
        <v>78</v>
      </c>
      <c r="S91" s="24">
        <v>0.69</v>
      </c>
      <c r="T91" s="22">
        <v>0.23253280426301842</v>
      </c>
    </row>
    <row r="92" spans="1:20" x14ac:dyDescent="0.25">
      <c r="A92" s="24" t="s">
        <v>131</v>
      </c>
      <c r="B92" s="3">
        <v>1</v>
      </c>
      <c r="C92" s="4">
        <v>3.88</v>
      </c>
      <c r="D92" s="52">
        <v>4</v>
      </c>
      <c r="E92" s="52">
        <v>4</v>
      </c>
      <c r="F92" s="5">
        <v>6</v>
      </c>
      <c r="G92" s="176">
        <v>3</v>
      </c>
      <c r="H92" s="179">
        <v>3</v>
      </c>
      <c r="I92" s="24" t="s">
        <v>46</v>
      </c>
      <c r="J92" s="24"/>
      <c r="K92" s="24"/>
      <c r="L92" s="24"/>
      <c r="M92" s="24"/>
      <c r="N92" s="24"/>
      <c r="O92" s="24"/>
      <c r="P92" s="24"/>
      <c r="Q92" s="24"/>
      <c r="R92" s="24" t="s">
        <v>78</v>
      </c>
      <c r="S92" s="24">
        <v>1</v>
      </c>
      <c r="T92" s="22">
        <v>0.23151448474789341</v>
      </c>
    </row>
    <row r="93" spans="1:20" x14ac:dyDescent="0.25">
      <c r="A93" s="24" t="s">
        <v>132</v>
      </c>
      <c r="B93" s="3" t="s">
        <v>71</v>
      </c>
      <c r="C93" s="4" t="s">
        <v>71</v>
      </c>
      <c r="D93" s="52">
        <v>1</v>
      </c>
      <c r="E93" s="52">
        <v>3</v>
      </c>
      <c r="F93" s="5">
        <v>4</v>
      </c>
      <c r="G93" s="176">
        <v>3</v>
      </c>
      <c r="H93" s="179">
        <v>3</v>
      </c>
      <c r="I93" s="24"/>
      <c r="J93" s="24"/>
      <c r="K93" s="24"/>
      <c r="L93" s="24"/>
      <c r="M93" s="24"/>
      <c r="N93" s="24"/>
      <c r="O93" s="24"/>
      <c r="P93" s="24"/>
      <c r="Q93" s="24"/>
      <c r="R93" s="24" t="s">
        <v>78</v>
      </c>
      <c r="S93" s="24" t="s">
        <v>71</v>
      </c>
      <c r="T93" s="22">
        <v>0.2306553272441377</v>
      </c>
    </row>
    <row r="94" spans="1:20" x14ac:dyDescent="0.25">
      <c r="A94" s="24" t="s">
        <v>133</v>
      </c>
      <c r="B94" s="14">
        <v>0.67</v>
      </c>
      <c r="C94" s="4">
        <v>2.19</v>
      </c>
      <c r="D94" s="52">
        <v>4</v>
      </c>
      <c r="E94" s="52">
        <v>4</v>
      </c>
      <c r="F94" s="5">
        <v>7</v>
      </c>
      <c r="G94" s="176">
        <v>3</v>
      </c>
      <c r="H94" s="179">
        <v>3</v>
      </c>
      <c r="I94" s="24"/>
      <c r="J94" s="24"/>
      <c r="K94" s="24"/>
      <c r="L94" s="24"/>
      <c r="M94" s="24"/>
      <c r="N94" s="24"/>
      <c r="O94" s="24"/>
      <c r="P94" s="24"/>
      <c r="Q94" s="24"/>
      <c r="R94" s="24" t="s">
        <v>78</v>
      </c>
      <c r="S94" s="24">
        <v>0.67</v>
      </c>
      <c r="T94" s="22">
        <v>0.22789498942090347</v>
      </c>
    </row>
    <row r="95" spans="1:20" x14ac:dyDescent="0.25">
      <c r="A95" s="24" t="s">
        <v>134</v>
      </c>
      <c r="B95" s="3" t="s">
        <v>71</v>
      </c>
      <c r="C95" s="4" t="s">
        <v>71</v>
      </c>
      <c r="D95" s="52">
        <v>3</v>
      </c>
      <c r="E95" s="52">
        <v>4</v>
      </c>
      <c r="F95" s="5">
        <v>7</v>
      </c>
      <c r="G95" s="176">
        <v>2</v>
      </c>
      <c r="H95" s="179">
        <v>5</v>
      </c>
      <c r="I95" s="24"/>
      <c r="J95" s="24"/>
      <c r="K95" s="24"/>
      <c r="L95" s="24"/>
      <c r="M95" s="24"/>
      <c r="N95" s="24"/>
      <c r="O95" s="24"/>
      <c r="P95" s="24"/>
      <c r="Q95" s="24"/>
      <c r="R95" s="24" t="s">
        <v>78</v>
      </c>
      <c r="S95" s="24" t="s">
        <v>71</v>
      </c>
      <c r="T95" s="22">
        <v>0.22132182101116732</v>
      </c>
    </row>
    <row r="96" spans="1:20" x14ac:dyDescent="0.25">
      <c r="A96" s="24" t="s">
        <v>135</v>
      </c>
      <c r="B96" s="14">
        <v>0.64</v>
      </c>
      <c r="C96" s="4">
        <v>2</v>
      </c>
      <c r="D96" s="52">
        <v>4</v>
      </c>
      <c r="E96" s="52">
        <v>4</v>
      </c>
      <c r="F96" s="5">
        <v>6</v>
      </c>
      <c r="G96" s="176">
        <v>1</v>
      </c>
      <c r="H96" s="179">
        <v>4</v>
      </c>
      <c r="I96" s="24"/>
      <c r="J96" s="24"/>
      <c r="K96" s="24"/>
      <c r="L96" s="24"/>
      <c r="M96" s="24"/>
      <c r="N96" s="24"/>
      <c r="O96" s="24"/>
      <c r="P96" s="24"/>
      <c r="Q96" s="24"/>
      <c r="R96" s="24" t="s">
        <v>78</v>
      </c>
      <c r="S96" s="24">
        <v>0.64</v>
      </c>
      <c r="T96" s="22">
        <v>0.21714032104887263</v>
      </c>
    </row>
    <row r="97" spans="1:20" x14ac:dyDescent="0.25">
      <c r="A97" s="24" t="s">
        <v>136</v>
      </c>
      <c r="B97" s="3" t="s">
        <v>71</v>
      </c>
      <c r="C97" s="4" t="s">
        <v>71</v>
      </c>
      <c r="D97" s="52">
        <v>1</v>
      </c>
      <c r="E97" s="52">
        <v>4</v>
      </c>
      <c r="F97" s="5">
        <v>5</v>
      </c>
      <c r="G97" s="176">
        <v>6</v>
      </c>
      <c r="H97" s="179">
        <v>3</v>
      </c>
      <c r="I97" s="24"/>
      <c r="J97" s="24"/>
      <c r="K97" s="24" t="s">
        <v>92</v>
      </c>
      <c r="L97" s="24"/>
      <c r="M97" s="24"/>
      <c r="N97" s="24"/>
      <c r="O97" s="24" t="s">
        <v>46</v>
      </c>
      <c r="P97" s="24"/>
      <c r="Q97" s="24"/>
      <c r="R97" s="24" t="s">
        <v>78</v>
      </c>
      <c r="S97" s="24" t="s">
        <v>71</v>
      </c>
      <c r="T97" s="22">
        <v>0.21370761670315225</v>
      </c>
    </row>
    <row r="98" spans="1:20" x14ac:dyDescent="0.25">
      <c r="A98" s="24" t="s">
        <v>137</v>
      </c>
      <c r="B98" s="3">
        <v>0.82</v>
      </c>
      <c r="C98" s="4">
        <v>4.04</v>
      </c>
      <c r="D98" s="52">
        <v>1</v>
      </c>
      <c r="E98" s="52">
        <v>4</v>
      </c>
      <c r="F98" s="5">
        <v>4</v>
      </c>
      <c r="G98" s="176">
        <v>1</v>
      </c>
      <c r="H98" s="179">
        <v>3</v>
      </c>
      <c r="I98" s="24"/>
      <c r="J98" s="24"/>
      <c r="K98" s="24"/>
      <c r="L98" s="24"/>
      <c r="M98" s="24"/>
      <c r="N98" s="24"/>
      <c r="O98" s="24"/>
      <c r="P98" s="24"/>
      <c r="Q98" s="24"/>
      <c r="R98" s="24" t="s">
        <v>78</v>
      </c>
      <c r="S98" s="24">
        <v>0.82</v>
      </c>
      <c r="T98" s="22">
        <v>0.21358330867876696</v>
      </c>
    </row>
    <row r="99" spans="1:20" x14ac:dyDescent="0.25">
      <c r="A99" s="24" t="s">
        <v>138</v>
      </c>
      <c r="B99" s="14">
        <v>0.7</v>
      </c>
      <c r="C99" s="4">
        <v>2.02</v>
      </c>
      <c r="D99" s="52">
        <v>4</v>
      </c>
      <c r="E99" s="52">
        <v>4</v>
      </c>
      <c r="F99" s="5">
        <v>6</v>
      </c>
      <c r="G99" s="176">
        <v>1</v>
      </c>
      <c r="H99" s="179">
        <v>4</v>
      </c>
      <c r="I99" s="24"/>
      <c r="J99" s="24"/>
      <c r="K99" s="24"/>
      <c r="L99" s="24"/>
      <c r="M99" s="24"/>
      <c r="N99" s="24"/>
      <c r="O99" s="24"/>
      <c r="P99" s="24"/>
      <c r="Q99" s="24"/>
      <c r="R99" s="24" t="s">
        <v>78</v>
      </c>
      <c r="S99" s="24">
        <v>0.7</v>
      </c>
      <c r="T99" s="22">
        <v>0.2100861861392854</v>
      </c>
    </row>
    <row r="100" spans="1:20" x14ac:dyDescent="0.25">
      <c r="A100" s="24" t="s">
        <v>139</v>
      </c>
      <c r="B100" s="19">
        <v>0.44</v>
      </c>
      <c r="C100" s="4">
        <v>1.91</v>
      </c>
      <c r="D100" s="52">
        <v>1</v>
      </c>
      <c r="E100" s="52">
        <v>4</v>
      </c>
      <c r="F100" s="5">
        <v>5</v>
      </c>
      <c r="G100" s="176">
        <v>3</v>
      </c>
      <c r="H100" s="179">
        <v>4</v>
      </c>
      <c r="I100" s="24"/>
      <c r="J100" s="24"/>
      <c r="K100" s="24" t="s">
        <v>109</v>
      </c>
      <c r="L100" s="24"/>
      <c r="M100" s="24"/>
      <c r="N100" s="24"/>
      <c r="O100" s="24"/>
      <c r="P100" s="24"/>
      <c r="Q100" s="24"/>
      <c r="R100" s="24" t="s">
        <v>78</v>
      </c>
      <c r="S100" s="24">
        <v>0.44</v>
      </c>
      <c r="T100" s="22">
        <v>0.20691075161911379</v>
      </c>
    </row>
    <row r="101" spans="1:20" x14ac:dyDescent="0.25">
      <c r="A101" s="24" t="s">
        <v>140</v>
      </c>
      <c r="B101" s="3">
        <v>0.84</v>
      </c>
      <c r="C101" s="4">
        <v>3.31</v>
      </c>
      <c r="D101" s="52">
        <v>1</v>
      </c>
      <c r="E101" s="52">
        <v>4</v>
      </c>
      <c r="F101" s="5">
        <v>6</v>
      </c>
      <c r="G101" s="176">
        <v>1</v>
      </c>
      <c r="H101" s="179">
        <v>3</v>
      </c>
      <c r="I101" s="24"/>
      <c r="J101" s="24"/>
      <c r="K101" s="24"/>
      <c r="L101" s="24"/>
      <c r="M101" s="24"/>
      <c r="N101" s="24"/>
      <c r="O101" s="24"/>
      <c r="P101" s="24"/>
      <c r="Q101" s="24"/>
      <c r="R101" s="24" t="s">
        <v>78</v>
      </c>
      <c r="S101" s="24">
        <v>0.84</v>
      </c>
      <c r="T101" s="22">
        <v>0.20659128301239679</v>
      </c>
    </row>
    <row r="102" spans="1:20" x14ac:dyDescent="0.25">
      <c r="A102" s="24" t="s">
        <v>141</v>
      </c>
      <c r="B102" s="14">
        <v>0.66</v>
      </c>
      <c r="C102" s="4">
        <v>6.45</v>
      </c>
      <c r="D102" s="52">
        <v>4</v>
      </c>
      <c r="E102" s="52">
        <v>4</v>
      </c>
      <c r="F102" s="5">
        <v>6</v>
      </c>
      <c r="G102" s="176">
        <v>3</v>
      </c>
      <c r="H102" s="179">
        <v>5</v>
      </c>
      <c r="I102" s="24" t="s">
        <v>46</v>
      </c>
      <c r="J102" s="24"/>
      <c r="K102" s="24"/>
      <c r="L102" s="24"/>
      <c r="M102" s="24"/>
      <c r="N102" s="24"/>
      <c r="O102" s="24"/>
      <c r="P102" s="24"/>
      <c r="Q102" s="24"/>
      <c r="R102" s="24" t="s">
        <v>78</v>
      </c>
      <c r="S102" s="24">
        <v>0.66</v>
      </c>
      <c r="T102" s="22">
        <v>0.20621285144285828</v>
      </c>
    </row>
    <row r="103" spans="1:20" x14ac:dyDescent="0.25">
      <c r="A103" s="24" t="s">
        <v>142</v>
      </c>
      <c r="B103" s="3">
        <v>0.95</v>
      </c>
      <c r="C103" s="4">
        <v>2.0299999999999998</v>
      </c>
      <c r="D103" s="52">
        <v>4</v>
      </c>
      <c r="E103" s="52">
        <v>4</v>
      </c>
      <c r="F103" s="5">
        <v>6</v>
      </c>
      <c r="G103" s="176">
        <v>1</v>
      </c>
      <c r="H103" s="179">
        <v>3</v>
      </c>
      <c r="I103" s="24" t="s">
        <v>46</v>
      </c>
      <c r="J103" s="24"/>
      <c r="K103" s="24"/>
      <c r="L103" s="24"/>
      <c r="M103" s="24"/>
      <c r="N103" s="24"/>
      <c r="O103" s="24"/>
      <c r="P103" s="24"/>
      <c r="Q103" s="24"/>
      <c r="R103" s="24" t="s">
        <v>78</v>
      </c>
      <c r="S103" s="24">
        <v>0.95</v>
      </c>
      <c r="T103" s="22">
        <v>0.20599226150261696</v>
      </c>
    </row>
    <row r="104" spans="1:20" x14ac:dyDescent="0.25">
      <c r="A104" s="24" t="s">
        <v>143</v>
      </c>
      <c r="B104" s="14">
        <v>0.73</v>
      </c>
      <c r="C104" s="4">
        <v>1.99</v>
      </c>
      <c r="D104" s="52">
        <v>4</v>
      </c>
      <c r="E104" s="52">
        <v>4</v>
      </c>
      <c r="F104" s="5">
        <v>6</v>
      </c>
      <c r="G104" s="176">
        <v>6</v>
      </c>
      <c r="H104" s="179">
        <v>4</v>
      </c>
      <c r="I104" s="24"/>
      <c r="J104" s="24"/>
      <c r="K104" s="24"/>
      <c r="L104" s="24"/>
      <c r="M104" s="24"/>
      <c r="N104" s="24"/>
      <c r="O104" s="24"/>
      <c r="P104" s="24"/>
      <c r="Q104" s="24"/>
      <c r="R104" s="24" t="s">
        <v>78</v>
      </c>
      <c r="S104" s="24">
        <v>0.73</v>
      </c>
      <c r="T104" s="22">
        <v>0.20579408425227719</v>
      </c>
    </row>
    <row r="105" spans="1:20" x14ac:dyDescent="0.25">
      <c r="A105" s="24" t="s">
        <v>144</v>
      </c>
      <c r="B105" s="14">
        <v>0.73</v>
      </c>
      <c r="C105" s="4">
        <v>7.43</v>
      </c>
      <c r="D105" s="52">
        <v>4</v>
      </c>
      <c r="E105" s="52">
        <v>4</v>
      </c>
      <c r="F105" s="5">
        <v>6</v>
      </c>
      <c r="G105" s="176">
        <v>2</v>
      </c>
      <c r="H105" s="179">
        <v>3</v>
      </c>
      <c r="I105" s="24" t="s">
        <v>46</v>
      </c>
      <c r="J105" s="24"/>
      <c r="K105" s="24"/>
      <c r="L105" s="24"/>
      <c r="M105" s="24"/>
      <c r="N105" s="24"/>
      <c r="O105" s="24"/>
      <c r="P105" s="24"/>
      <c r="Q105" s="24"/>
      <c r="R105" s="24" t="s">
        <v>78</v>
      </c>
      <c r="S105" s="24">
        <v>0.73</v>
      </c>
      <c r="T105" s="22">
        <v>0.20550043047316613</v>
      </c>
    </row>
    <row r="106" spans="1:20" x14ac:dyDescent="0.25">
      <c r="A106" s="24" t="s">
        <v>145</v>
      </c>
      <c r="B106" s="19">
        <v>0.45</v>
      </c>
      <c r="C106" s="4">
        <v>1.98</v>
      </c>
      <c r="D106" s="52">
        <v>3</v>
      </c>
      <c r="E106" s="52">
        <v>4</v>
      </c>
      <c r="F106" s="5">
        <v>7</v>
      </c>
      <c r="G106" s="176">
        <v>3</v>
      </c>
      <c r="H106" s="179">
        <v>5</v>
      </c>
      <c r="I106" s="24"/>
      <c r="J106" s="24"/>
      <c r="K106" s="24"/>
      <c r="L106" s="24"/>
      <c r="M106" s="24"/>
      <c r="N106" s="24"/>
      <c r="O106" s="24"/>
      <c r="P106" s="24"/>
      <c r="Q106" s="24"/>
      <c r="R106" s="24" t="s">
        <v>78</v>
      </c>
      <c r="S106" s="24">
        <v>0.45</v>
      </c>
      <c r="T106" s="22">
        <v>0.20482482057892401</v>
      </c>
    </row>
    <row r="107" spans="1:20" x14ac:dyDescent="0.25">
      <c r="A107" s="24" t="s">
        <v>146</v>
      </c>
      <c r="B107" s="3" t="s">
        <v>71</v>
      </c>
      <c r="C107" s="4" t="s">
        <v>71</v>
      </c>
      <c r="D107" s="52">
        <v>3</v>
      </c>
      <c r="E107" s="52">
        <v>4</v>
      </c>
      <c r="F107" s="5">
        <v>6</v>
      </c>
      <c r="G107" s="176">
        <v>2</v>
      </c>
      <c r="H107" s="179">
        <v>4</v>
      </c>
      <c r="I107" s="24" t="s">
        <v>25</v>
      </c>
      <c r="J107" s="24"/>
      <c r="K107" s="24"/>
      <c r="L107" s="24"/>
      <c r="M107" s="24"/>
      <c r="N107" s="24"/>
      <c r="O107" s="24"/>
      <c r="P107" s="24"/>
      <c r="Q107" s="24"/>
      <c r="R107" s="24" t="s">
        <v>78</v>
      </c>
      <c r="S107" s="24" t="s">
        <v>71</v>
      </c>
      <c r="T107" s="22">
        <v>0.20348319547369087</v>
      </c>
    </row>
    <row r="108" spans="1:20" x14ac:dyDescent="0.25">
      <c r="A108" s="24" t="s">
        <v>147</v>
      </c>
      <c r="B108" s="19">
        <v>0.59</v>
      </c>
      <c r="C108" s="4">
        <v>4.59</v>
      </c>
      <c r="D108" s="52">
        <v>4</v>
      </c>
      <c r="E108" s="52">
        <v>3</v>
      </c>
      <c r="F108" s="5">
        <v>6</v>
      </c>
      <c r="G108" s="176">
        <v>3</v>
      </c>
      <c r="H108" s="179">
        <v>3</v>
      </c>
      <c r="I108" s="24"/>
      <c r="J108" s="24"/>
      <c r="K108" s="24" t="s">
        <v>92</v>
      </c>
      <c r="L108" s="24"/>
      <c r="M108" s="24"/>
      <c r="N108" s="24"/>
      <c r="O108" s="24"/>
      <c r="P108" s="24"/>
      <c r="Q108" s="24"/>
      <c r="R108" s="24" t="s">
        <v>78</v>
      </c>
      <c r="S108" s="24">
        <v>0.59</v>
      </c>
      <c r="T108" s="22">
        <v>0.20239428660624864</v>
      </c>
    </row>
    <row r="109" spans="1:20" x14ac:dyDescent="0.25">
      <c r="A109" s="24" t="s">
        <v>148</v>
      </c>
      <c r="B109" s="3">
        <v>0.85</v>
      </c>
      <c r="C109" s="4">
        <v>2.0699999999999998</v>
      </c>
      <c r="D109" s="52">
        <v>4</v>
      </c>
      <c r="E109" s="52">
        <v>4</v>
      </c>
      <c r="F109" s="5">
        <v>6</v>
      </c>
      <c r="G109" s="176">
        <v>2</v>
      </c>
      <c r="H109" s="179">
        <v>3</v>
      </c>
      <c r="I109" s="24" t="s">
        <v>46</v>
      </c>
      <c r="J109" s="24"/>
      <c r="K109" s="24" t="s">
        <v>109</v>
      </c>
      <c r="L109" s="24"/>
      <c r="M109" s="24"/>
      <c r="N109" s="24"/>
      <c r="O109" s="24"/>
      <c r="P109" s="24"/>
      <c r="Q109" s="24"/>
      <c r="R109" s="24" t="s">
        <v>78</v>
      </c>
      <c r="S109" s="24">
        <v>0.85</v>
      </c>
      <c r="T109" s="22">
        <v>0.20211496053327863</v>
      </c>
    </row>
    <row r="110" spans="1:20" x14ac:dyDescent="0.25">
      <c r="A110" s="24" t="s">
        <v>149</v>
      </c>
      <c r="B110" s="19">
        <v>0.54</v>
      </c>
      <c r="C110" s="4">
        <v>3.92</v>
      </c>
      <c r="D110" s="52">
        <v>3</v>
      </c>
      <c r="E110" s="52">
        <v>4</v>
      </c>
      <c r="F110" s="5">
        <v>6</v>
      </c>
      <c r="G110" s="176">
        <v>2</v>
      </c>
      <c r="H110" s="15"/>
      <c r="I110" s="24"/>
      <c r="J110" s="24"/>
      <c r="K110" s="24"/>
      <c r="L110" s="24"/>
      <c r="M110" s="24"/>
      <c r="N110" s="24"/>
      <c r="O110" s="24"/>
      <c r="P110" s="24"/>
      <c r="Q110" s="24"/>
      <c r="R110" s="24" t="s">
        <v>78</v>
      </c>
      <c r="S110" s="24">
        <v>0.54</v>
      </c>
      <c r="T110" s="23">
        <v>0.19946593934832341</v>
      </c>
    </row>
    <row r="111" spans="1:20" x14ac:dyDescent="0.25">
      <c r="A111" s="24" t="s">
        <v>150</v>
      </c>
      <c r="B111" s="14">
        <v>0.76</v>
      </c>
      <c r="C111" s="4">
        <v>2.17</v>
      </c>
      <c r="D111" s="52">
        <v>5</v>
      </c>
      <c r="E111" s="52">
        <v>4</v>
      </c>
      <c r="F111" s="5">
        <v>5</v>
      </c>
      <c r="G111" s="176">
        <v>3</v>
      </c>
      <c r="H111" s="15"/>
      <c r="I111" s="24"/>
      <c r="J111" s="24" t="s">
        <v>67</v>
      </c>
      <c r="K111" s="24" t="s">
        <v>92</v>
      </c>
      <c r="L111" s="24"/>
      <c r="M111" s="24"/>
      <c r="N111" s="24"/>
      <c r="O111" s="24"/>
      <c r="P111" s="24"/>
      <c r="Q111" s="24"/>
      <c r="R111" s="24" t="s">
        <v>78</v>
      </c>
      <c r="S111" s="24">
        <v>0.76</v>
      </c>
      <c r="T111" s="23">
        <v>0.19797722681708968</v>
      </c>
    </row>
    <row r="112" spans="1:20" x14ac:dyDescent="0.25">
      <c r="A112" s="24" t="s">
        <v>151</v>
      </c>
      <c r="B112" s="14">
        <v>0.68</v>
      </c>
      <c r="C112" s="4">
        <v>1.94</v>
      </c>
      <c r="D112" s="52">
        <v>4</v>
      </c>
      <c r="E112" s="52">
        <v>4</v>
      </c>
      <c r="F112" s="5">
        <v>7</v>
      </c>
      <c r="G112" s="176">
        <v>1</v>
      </c>
      <c r="H112" s="179">
        <v>4</v>
      </c>
      <c r="I112" s="24"/>
      <c r="J112" s="24"/>
      <c r="K112" s="24"/>
      <c r="L112" s="24"/>
      <c r="M112" s="24"/>
      <c r="N112" s="24"/>
      <c r="O112" s="24"/>
      <c r="P112" s="24"/>
      <c r="Q112" s="24"/>
      <c r="R112" s="24" t="s">
        <v>78</v>
      </c>
      <c r="S112" s="24">
        <v>0.68</v>
      </c>
      <c r="T112" s="23">
        <v>0.19640135959663713</v>
      </c>
    </row>
    <row r="113" spans="1:20" x14ac:dyDescent="0.25">
      <c r="A113" s="24" t="s">
        <v>152</v>
      </c>
      <c r="B113" s="19">
        <v>0.56000000000000005</v>
      </c>
      <c r="C113" s="4">
        <v>2.0499999999999998</v>
      </c>
      <c r="D113" s="52">
        <v>4</v>
      </c>
      <c r="E113" s="52">
        <v>3</v>
      </c>
      <c r="F113" s="5">
        <v>6</v>
      </c>
      <c r="G113" s="176">
        <v>1</v>
      </c>
      <c r="H113" s="15"/>
      <c r="I113" s="24"/>
      <c r="J113" s="24"/>
      <c r="K113" s="24"/>
      <c r="L113" s="24"/>
      <c r="M113" s="24"/>
      <c r="N113" s="24"/>
      <c r="O113" s="24"/>
      <c r="P113" s="24"/>
      <c r="Q113" s="24"/>
      <c r="R113" s="24" t="s">
        <v>78</v>
      </c>
      <c r="S113" s="24">
        <v>0.56000000000000005</v>
      </c>
      <c r="T113" s="23">
        <v>0.19475164428739697</v>
      </c>
    </row>
    <row r="114" spans="1:20" x14ac:dyDescent="0.25">
      <c r="A114" s="24" t="s">
        <v>153</v>
      </c>
      <c r="B114" s="3">
        <v>1</v>
      </c>
      <c r="C114" s="4">
        <v>1.95</v>
      </c>
      <c r="D114" s="52">
        <v>3</v>
      </c>
      <c r="E114" s="52">
        <v>4</v>
      </c>
      <c r="F114" s="5">
        <v>7</v>
      </c>
      <c r="G114" s="176">
        <v>6</v>
      </c>
      <c r="H114" s="15"/>
      <c r="I114" s="24"/>
      <c r="J114" s="24"/>
      <c r="K114" s="24" t="s">
        <v>92</v>
      </c>
      <c r="L114" s="24"/>
      <c r="M114" s="24"/>
      <c r="N114" s="24"/>
      <c r="O114" s="24"/>
      <c r="P114" s="24"/>
      <c r="Q114" s="24"/>
      <c r="R114" s="24" t="s">
        <v>78</v>
      </c>
      <c r="S114" s="24">
        <v>1</v>
      </c>
      <c r="T114" s="23">
        <v>0.19470999265739614</v>
      </c>
    </row>
    <row r="115" spans="1:20" x14ac:dyDescent="0.25">
      <c r="A115" s="24" t="s">
        <v>154</v>
      </c>
      <c r="B115" s="14">
        <v>0.71</v>
      </c>
      <c r="C115" s="4">
        <v>7.06</v>
      </c>
      <c r="D115" s="52">
        <v>4</v>
      </c>
      <c r="E115" s="52">
        <v>3</v>
      </c>
      <c r="F115" s="5">
        <v>7</v>
      </c>
      <c r="G115" s="176">
        <v>3</v>
      </c>
      <c r="H115" s="179">
        <v>3</v>
      </c>
      <c r="I115" s="24"/>
      <c r="J115" s="24"/>
      <c r="K115" s="24"/>
      <c r="L115" s="24"/>
      <c r="M115" s="24"/>
      <c r="N115" s="24"/>
      <c r="O115" s="24"/>
      <c r="P115" s="24"/>
      <c r="Q115" s="24"/>
      <c r="R115" s="24" t="s">
        <v>78</v>
      </c>
      <c r="S115" s="24">
        <v>0.71</v>
      </c>
      <c r="T115" s="23">
        <v>0.194681698752247</v>
      </c>
    </row>
    <row r="116" spans="1:20" x14ac:dyDescent="0.25">
      <c r="A116" s="24" t="s">
        <v>155</v>
      </c>
      <c r="B116" s="18">
        <v>0.34</v>
      </c>
      <c r="C116" s="4">
        <v>5.37</v>
      </c>
      <c r="D116" s="52">
        <v>4</v>
      </c>
      <c r="E116" s="52">
        <v>4</v>
      </c>
      <c r="F116" s="5">
        <v>4</v>
      </c>
      <c r="G116" s="176">
        <v>3</v>
      </c>
      <c r="H116" s="179">
        <v>4</v>
      </c>
      <c r="I116" s="24"/>
      <c r="J116" s="24"/>
      <c r="K116" s="24"/>
      <c r="L116" s="24"/>
      <c r="M116" s="24"/>
      <c r="N116" s="24"/>
      <c r="O116" s="24"/>
      <c r="P116" s="24"/>
      <c r="Q116" s="24"/>
      <c r="R116" s="24" t="s">
        <v>78</v>
      </c>
      <c r="S116" s="24">
        <v>0.34</v>
      </c>
      <c r="T116" s="23">
        <v>0.19459351234665373</v>
      </c>
    </row>
    <row r="117" spans="1:20" x14ac:dyDescent="0.25">
      <c r="A117" s="24" t="s">
        <v>156</v>
      </c>
      <c r="B117" s="14">
        <v>0.76</v>
      </c>
      <c r="C117" s="4">
        <v>3.93</v>
      </c>
      <c r="D117" s="52">
        <v>1</v>
      </c>
      <c r="E117" s="52">
        <v>4</v>
      </c>
      <c r="F117" s="5">
        <v>7</v>
      </c>
      <c r="G117" s="176">
        <v>1</v>
      </c>
      <c r="H117" s="179">
        <v>3</v>
      </c>
      <c r="I117" s="24"/>
      <c r="J117" s="24"/>
      <c r="K117" s="24"/>
      <c r="L117" s="24"/>
      <c r="M117" s="24"/>
      <c r="N117" s="24"/>
      <c r="O117" s="24"/>
      <c r="P117" s="24"/>
      <c r="Q117" s="24"/>
      <c r="R117" s="24" t="s">
        <v>78</v>
      </c>
      <c r="S117" s="24">
        <v>0.76</v>
      </c>
      <c r="T117" s="23">
        <v>0.19372702516742618</v>
      </c>
    </row>
    <row r="118" spans="1:20" x14ac:dyDescent="0.25">
      <c r="A118" s="24" t="s">
        <v>157</v>
      </c>
      <c r="B118" s="14">
        <v>0.62</v>
      </c>
      <c r="C118" s="4">
        <v>3.68</v>
      </c>
      <c r="D118" s="52">
        <v>1</v>
      </c>
      <c r="E118" s="52">
        <v>4</v>
      </c>
      <c r="F118" s="5">
        <v>4</v>
      </c>
      <c r="G118" s="176">
        <v>6</v>
      </c>
      <c r="H118" s="179">
        <v>3</v>
      </c>
      <c r="I118" s="24" t="s">
        <v>46</v>
      </c>
      <c r="J118" s="24"/>
      <c r="K118" s="24"/>
      <c r="L118" s="24"/>
      <c r="M118" s="24"/>
      <c r="N118" s="24"/>
      <c r="O118" s="24" t="s">
        <v>46</v>
      </c>
      <c r="P118" s="24"/>
      <c r="Q118" s="24"/>
      <c r="R118" s="24" t="s">
        <v>78</v>
      </c>
      <c r="S118" s="24">
        <v>0.62</v>
      </c>
      <c r="T118" s="23">
        <v>0.19348683309981102</v>
      </c>
    </row>
    <row r="119" spans="1:20" x14ac:dyDescent="0.25">
      <c r="A119" s="24" t="s">
        <v>158</v>
      </c>
      <c r="B119" s="19">
        <v>0.45</v>
      </c>
      <c r="C119" s="4">
        <v>3.23</v>
      </c>
      <c r="D119" s="52">
        <v>1</v>
      </c>
      <c r="E119" s="52">
        <v>4</v>
      </c>
      <c r="F119" s="5">
        <v>5</v>
      </c>
      <c r="G119" s="176">
        <v>3</v>
      </c>
      <c r="H119" s="179">
        <v>5</v>
      </c>
      <c r="I119" s="24" t="s">
        <v>64</v>
      </c>
      <c r="J119" s="24"/>
      <c r="K119" s="24"/>
      <c r="L119" s="24"/>
      <c r="M119" s="24"/>
      <c r="N119" s="24"/>
      <c r="O119" s="24"/>
      <c r="P119" s="24"/>
      <c r="Q119" s="24"/>
      <c r="R119" s="24" t="s">
        <v>78</v>
      </c>
      <c r="S119" s="24">
        <v>0.45</v>
      </c>
      <c r="T119" s="23">
        <v>0.19256667705041647</v>
      </c>
    </row>
    <row r="120" spans="1:20" x14ac:dyDescent="0.25">
      <c r="A120" s="24" t="s">
        <v>159</v>
      </c>
      <c r="B120" s="14">
        <v>0.69</v>
      </c>
      <c r="C120" s="4">
        <v>1.95</v>
      </c>
      <c r="D120" s="52">
        <v>4</v>
      </c>
      <c r="E120" s="52">
        <v>4</v>
      </c>
      <c r="F120" s="5">
        <v>6</v>
      </c>
      <c r="G120" s="176">
        <v>3</v>
      </c>
      <c r="H120" s="15"/>
      <c r="I120" s="24" t="s">
        <v>46</v>
      </c>
      <c r="J120" s="24"/>
      <c r="K120" s="24"/>
      <c r="L120" s="24"/>
      <c r="M120" s="24"/>
      <c r="N120" s="24"/>
      <c r="O120" s="24"/>
      <c r="P120" s="24"/>
      <c r="Q120" s="24"/>
      <c r="R120" s="24" t="s">
        <v>78</v>
      </c>
      <c r="S120" s="24">
        <v>0.69</v>
      </c>
      <c r="T120" s="23">
        <v>0.19102035373733064</v>
      </c>
    </row>
    <row r="121" spans="1:20" x14ac:dyDescent="0.25">
      <c r="A121" s="24" t="s">
        <v>160</v>
      </c>
      <c r="B121" s="3">
        <v>0.88</v>
      </c>
      <c r="C121" s="4">
        <v>2.17</v>
      </c>
      <c r="D121" s="52">
        <v>4</v>
      </c>
      <c r="E121" s="52">
        <v>4</v>
      </c>
      <c r="F121" s="5">
        <v>6</v>
      </c>
      <c r="G121" s="176">
        <v>1</v>
      </c>
      <c r="H121" s="179">
        <v>5</v>
      </c>
      <c r="I121" s="24"/>
      <c r="J121" s="24"/>
      <c r="K121" s="24"/>
      <c r="L121" s="24"/>
      <c r="M121" s="24"/>
      <c r="N121" s="24"/>
      <c r="O121" s="24"/>
      <c r="P121" s="24"/>
      <c r="Q121" s="24"/>
      <c r="R121" s="24" t="s">
        <v>78</v>
      </c>
      <c r="S121" s="24">
        <v>0.88</v>
      </c>
      <c r="T121" s="23">
        <v>0.19085695977789272</v>
      </c>
    </row>
    <row r="122" spans="1:20" x14ac:dyDescent="0.25">
      <c r="A122" s="24" t="s">
        <v>161</v>
      </c>
      <c r="B122" s="14">
        <v>0.6</v>
      </c>
      <c r="C122" s="4">
        <v>2.0299999999999998</v>
      </c>
      <c r="D122" s="52">
        <v>4</v>
      </c>
      <c r="E122" s="52">
        <v>3</v>
      </c>
      <c r="F122" s="5">
        <v>6</v>
      </c>
      <c r="G122" s="176">
        <v>3</v>
      </c>
      <c r="H122" s="179">
        <v>5</v>
      </c>
      <c r="I122" s="24" t="s">
        <v>64</v>
      </c>
      <c r="J122" s="24"/>
      <c r="K122" s="24" t="s">
        <v>109</v>
      </c>
      <c r="L122" s="24"/>
      <c r="M122" s="24"/>
      <c r="N122" s="24" t="s">
        <v>46</v>
      </c>
      <c r="O122" s="24"/>
      <c r="P122" s="24"/>
      <c r="Q122" s="24"/>
      <c r="R122" s="24" t="s">
        <v>78</v>
      </c>
      <c r="S122" s="24">
        <v>0.6</v>
      </c>
      <c r="T122" s="23">
        <v>0.18966249024498633</v>
      </c>
    </row>
    <row r="123" spans="1:20" x14ac:dyDescent="0.25">
      <c r="A123" s="24" t="s">
        <v>162</v>
      </c>
      <c r="B123" s="3">
        <v>0.82</v>
      </c>
      <c r="C123" s="4">
        <v>1.96</v>
      </c>
      <c r="D123" s="52">
        <v>4</v>
      </c>
      <c r="E123" s="52">
        <v>4</v>
      </c>
      <c r="F123" s="5">
        <v>6</v>
      </c>
      <c r="G123" s="176">
        <v>3</v>
      </c>
      <c r="H123" s="179">
        <v>3</v>
      </c>
      <c r="I123" s="24" t="s">
        <v>46</v>
      </c>
      <c r="J123" s="24"/>
      <c r="K123" s="24" t="s">
        <v>109</v>
      </c>
      <c r="L123" s="24"/>
      <c r="M123" s="24"/>
      <c r="N123" s="24"/>
      <c r="O123" s="24"/>
      <c r="P123" s="24" t="s">
        <v>92</v>
      </c>
      <c r="Q123" s="24"/>
      <c r="R123" s="24" t="s">
        <v>78</v>
      </c>
      <c r="S123" s="24">
        <v>0.82</v>
      </c>
      <c r="T123" s="23">
        <v>0.18885009665105285</v>
      </c>
    </row>
    <row r="124" spans="1:20" x14ac:dyDescent="0.25">
      <c r="A124" s="24" t="s">
        <v>163</v>
      </c>
      <c r="B124" s="3">
        <v>0.8</v>
      </c>
      <c r="C124" s="4">
        <v>1.79</v>
      </c>
      <c r="D124" s="52">
        <v>4</v>
      </c>
      <c r="E124" s="52">
        <v>4</v>
      </c>
      <c r="F124" s="5">
        <v>6</v>
      </c>
      <c r="G124" s="176">
        <v>3</v>
      </c>
      <c r="H124" s="15"/>
      <c r="I124" s="24" t="s">
        <v>46</v>
      </c>
      <c r="J124" s="24"/>
      <c r="K124" s="24"/>
      <c r="L124" s="24"/>
      <c r="M124" s="24"/>
      <c r="N124" s="24"/>
      <c r="O124" s="24" t="s">
        <v>46</v>
      </c>
      <c r="P124" s="24"/>
      <c r="Q124" s="24"/>
      <c r="R124" s="24" t="s">
        <v>78</v>
      </c>
      <c r="S124" s="24">
        <v>0.8</v>
      </c>
      <c r="T124" s="23">
        <v>0.18853894153944473</v>
      </c>
    </row>
    <row r="125" spans="1:20" x14ac:dyDescent="0.25">
      <c r="A125" s="24" t="s">
        <v>164</v>
      </c>
      <c r="B125" s="3">
        <v>0.87</v>
      </c>
      <c r="C125" s="4">
        <v>2.15</v>
      </c>
      <c r="D125" s="52">
        <v>1</v>
      </c>
      <c r="E125" s="52">
        <v>3</v>
      </c>
      <c r="F125" s="5">
        <v>4</v>
      </c>
      <c r="G125" s="176">
        <v>2</v>
      </c>
      <c r="H125" s="15"/>
      <c r="I125" s="24"/>
      <c r="J125" s="24"/>
      <c r="K125" s="24"/>
      <c r="L125" s="24"/>
      <c r="M125" s="24"/>
      <c r="N125" s="24"/>
      <c r="O125" s="24"/>
      <c r="P125" s="24"/>
      <c r="Q125" s="24"/>
      <c r="R125" s="24" t="s">
        <v>78</v>
      </c>
      <c r="S125" s="24">
        <v>0.87</v>
      </c>
      <c r="T125" s="23">
        <v>0.18736686806818534</v>
      </c>
    </row>
    <row r="126" spans="1:20" x14ac:dyDescent="0.25">
      <c r="A126" s="24" t="s">
        <v>165</v>
      </c>
      <c r="B126" s="3" t="s">
        <v>71</v>
      </c>
      <c r="C126" s="4" t="s">
        <v>71</v>
      </c>
      <c r="D126" s="52">
        <v>3</v>
      </c>
      <c r="E126" s="52">
        <v>4</v>
      </c>
      <c r="F126" s="5">
        <v>7</v>
      </c>
      <c r="G126" s="176">
        <v>6</v>
      </c>
      <c r="H126" s="179">
        <v>5</v>
      </c>
      <c r="I126" s="24"/>
      <c r="J126" s="24"/>
      <c r="K126" s="24" t="s">
        <v>92</v>
      </c>
      <c r="L126" s="24"/>
      <c r="M126" s="24"/>
      <c r="N126" s="24"/>
      <c r="O126" s="24"/>
      <c r="P126" s="24" t="s">
        <v>92</v>
      </c>
      <c r="Q126" s="24"/>
      <c r="R126" s="24" t="s">
        <v>78</v>
      </c>
      <c r="S126" s="24" t="s">
        <v>71</v>
      </c>
      <c r="T126" s="23">
        <v>0.18537606230085502</v>
      </c>
    </row>
    <row r="127" spans="1:20" x14ac:dyDescent="0.25">
      <c r="A127" s="24" t="s">
        <v>166</v>
      </c>
      <c r="B127" s="19">
        <v>0.48</v>
      </c>
      <c r="C127" s="4">
        <v>3.91</v>
      </c>
      <c r="D127" s="52">
        <v>1</v>
      </c>
      <c r="E127" s="52">
        <v>4</v>
      </c>
      <c r="F127" s="5">
        <v>4</v>
      </c>
      <c r="G127" s="176">
        <v>1</v>
      </c>
      <c r="H127" s="179">
        <v>4</v>
      </c>
      <c r="I127" s="24"/>
      <c r="J127" s="24"/>
      <c r="K127" s="24"/>
      <c r="L127" s="24" t="s">
        <v>64</v>
      </c>
      <c r="M127" s="24"/>
      <c r="N127" s="24"/>
      <c r="O127" s="24"/>
      <c r="P127" s="24"/>
      <c r="Q127" s="24"/>
      <c r="R127" s="24" t="s">
        <v>78</v>
      </c>
      <c r="S127" s="24">
        <v>0.48</v>
      </c>
      <c r="T127" s="23">
        <v>0.18508504219593974</v>
      </c>
    </row>
    <row r="128" spans="1:20" x14ac:dyDescent="0.25">
      <c r="A128" s="24" t="s">
        <v>167</v>
      </c>
      <c r="B128" s="19">
        <v>0.54</v>
      </c>
      <c r="C128" s="4">
        <v>3.8</v>
      </c>
      <c r="D128" s="52">
        <v>4</v>
      </c>
      <c r="E128" s="52">
        <v>3</v>
      </c>
      <c r="F128" s="5">
        <v>7</v>
      </c>
      <c r="G128" s="176">
        <v>1</v>
      </c>
      <c r="H128" s="179">
        <v>3</v>
      </c>
      <c r="I128" s="24" t="s">
        <v>25</v>
      </c>
      <c r="J128" s="24"/>
      <c r="K128" s="24"/>
      <c r="L128" s="24"/>
      <c r="M128" s="24"/>
      <c r="N128" s="24" t="s">
        <v>25</v>
      </c>
      <c r="O128" s="24"/>
      <c r="P128" s="24"/>
      <c r="Q128" s="24"/>
      <c r="R128" s="24" t="s">
        <v>78</v>
      </c>
      <c r="S128" s="24">
        <v>0.54</v>
      </c>
      <c r="T128" s="23">
        <v>0.18253371032694701</v>
      </c>
    </row>
    <row r="129" spans="1:20" x14ac:dyDescent="0.25">
      <c r="A129" s="24" t="s">
        <v>168</v>
      </c>
      <c r="B129" s="18">
        <v>0.35</v>
      </c>
      <c r="C129" s="4">
        <v>4.9000000000000004</v>
      </c>
      <c r="D129" s="52">
        <v>5</v>
      </c>
      <c r="E129" s="52">
        <v>3</v>
      </c>
      <c r="F129" s="5">
        <v>6</v>
      </c>
      <c r="G129" s="176">
        <v>3</v>
      </c>
      <c r="H129" s="179">
        <v>3</v>
      </c>
      <c r="I129" s="24" t="s">
        <v>46</v>
      </c>
      <c r="J129" s="24"/>
      <c r="K129" s="24" t="s">
        <v>109</v>
      </c>
      <c r="L129" s="24"/>
      <c r="M129" s="24"/>
      <c r="N129" s="24"/>
      <c r="O129" s="24"/>
      <c r="P129" s="24"/>
      <c r="Q129" s="24"/>
      <c r="R129" s="24" t="s">
        <v>78</v>
      </c>
      <c r="S129" s="24">
        <v>0.35</v>
      </c>
      <c r="T129" s="23">
        <v>0.18198960189332039</v>
      </c>
    </row>
    <row r="130" spans="1:20" x14ac:dyDescent="0.25">
      <c r="A130" s="24" t="s">
        <v>169</v>
      </c>
      <c r="B130" s="19">
        <v>0.53</v>
      </c>
      <c r="C130" s="4">
        <v>2.52</v>
      </c>
      <c r="D130" s="52">
        <v>5</v>
      </c>
      <c r="E130" s="52">
        <v>3</v>
      </c>
      <c r="F130" s="5">
        <v>6</v>
      </c>
      <c r="G130" s="176">
        <v>3</v>
      </c>
      <c r="H130" s="179">
        <v>4</v>
      </c>
      <c r="I130" s="24"/>
      <c r="J130" s="24"/>
      <c r="K130" s="24" t="s">
        <v>92</v>
      </c>
      <c r="L130" s="24"/>
      <c r="M130" s="24"/>
      <c r="N130" s="24"/>
      <c r="O130" s="24"/>
      <c r="P130" s="24"/>
      <c r="Q130" s="24"/>
      <c r="R130" s="24" t="s">
        <v>78</v>
      </c>
      <c r="S130" s="24">
        <v>0.53</v>
      </c>
      <c r="T130" s="23">
        <v>0.18189702920422596</v>
      </c>
    </row>
    <row r="131" spans="1:20" x14ac:dyDescent="0.25">
      <c r="A131" s="24" t="s">
        <v>170</v>
      </c>
      <c r="B131" s="3">
        <v>0.86</v>
      </c>
      <c r="C131" s="4">
        <v>1.82</v>
      </c>
      <c r="D131" s="52">
        <v>4</v>
      </c>
      <c r="E131" s="52">
        <v>4</v>
      </c>
      <c r="F131" s="5">
        <v>6</v>
      </c>
      <c r="G131" s="176">
        <v>1</v>
      </c>
      <c r="H131" s="15"/>
      <c r="I131" s="24" t="s">
        <v>46</v>
      </c>
      <c r="J131" s="24"/>
      <c r="K131" s="24"/>
      <c r="L131" s="24"/>
      <c r="M131" s="24"/>
      <c r="N131" s="24"/>
      <c r="O131" s="24"/>
      <c r="P131" s="24"/>
      <c r="Q131" s="24"/>
      <c r="R131" s="24" t="s">
        <v>78</v>
      </c>
      <c r="S131" s="24">
        <v>0.86</v>
      </c>
      <c r="T131" s="23">
        <v>0.18166197036737036</v>
      </c>
    </row>
    <row r="132" spans="1:20" x14ac:dyDescent="0.25">
      <c r="A132" s="24" t="s">
        <v>171</v>
      </c>
      <c r="B132" s="3">
        <v>0.87</v>
      </c>
      <c r="C132" s="4">
        <v>1.98</v>
      </c>
      <c r="D132" s="52">
        <v>1</v>
      </c>
      <c r="E132" s="52">
        <v>3</v>
      </c>
      <c r="F132" s="5">
        <v>5</v>
      </c>
      <c r="G132" s="176">
        <v>2</v>
      </c>
      <c r="H132" s="179">
        <v>5</v>
      </c>
      <c r="I132" s="24"/>
      <c r="J132" s="24"/>
      <c r="K132" s="24"/>
      <c r="L132" s="24"/>
      <c r="M132" s="24"/>
      <c r="N132" s="24" t="s">
        <v>33</v>
      </c>
      <c r="O132" s="24"/>
      <c r="P132" s="24"/>
      <c r="Q132" s="24"/>
      <c r="R132" s="24" t="s">
        <v>78</v>
      </c>
      <c r="S132" s="24">
        <v>0.87</v>
      </c>
      <c r="T132" s="23">
        <v>0.18141794605281625</v>
      </c>
    </row>
    <row r="133" spans="1:20" x14ac:dyDescent="0.25">
      <c r="A133" s="24" t="s">
        <v>172</v>
      </c>
      <c r="B133" s="14">
        <v>0.6</v>
      </c>
      <c r="C133" s="4">
        <v>1.98</v>
      </c>
      <c r="D133" s="52">
        <v>3</v>
      </c>
      <c r="E133" s="52">
        <v>4</v>
      </c>
      <c r="F133" s="5">
        <v>6</v>
      </c>
      <c r="G133" s="176">
        <v>3</v>
      </c>
      <c r="H133" s="15"/>
      <c r="I133" s="24"/>
      <c r="J133" s="24"/>
      <c r="K133" s="24" t="s">
        <v>109</v>
      </c>
      <c r="L133" s="24"/>
      <c r="M133" s="24"/>
      <c r="N133" s="24"/>
      <c r="O133" s="24"/>
      <c r="P133" s="24"/>
      <c r="Q133" s="24"/>
      <c r="R133" s="24" t="s">
        <v>78</v>
      </c>
      <c r="S133" s="24">
        <v>0.6</v>
      </c>
      <c r="T133" s="23">
        <v>0.17842429274491983</v>
      </c>
    </row>
    <row r="134" spans="1:20" x14ac:dyDescent="0.25">
      <c r="A134" s="24" t="s">
        <v>173</v>
      </c>
      <c r="B134" s="19">
        <v>0.54</v>
      </c>
      <c r="C134" s="4">
        <v>2.31</v>
      </c>
      <c r="D134" s="52">
        <v>5</v>
      </c>
      <c r="E134" s="52">
        <v>4</v>
      </c>
      <c r="F134" s="5">
        <v>5</v>
      </c>
      <c r="G134" s="176">
        <v>3</v>
      </c>
      <c r="H134" s="179">
        <v>5</v>
      </c>
      <c r="I134" s="24"/>
      <c r="J134" s="24"/>
      <c r="K134" s="24" t="s">
        <v>109</v>
      </c>
      <c r="L134" s="24"/>
      <c r="M134" s="24"/>
      <c r="N134" s="24"/>
      <c r="O134" s="24"/>
      <c r="P134" s="24"/>
      <c r="Q134" s="24"/>
      <c r="R134" s="24" t="s">
        <v>78</v>
      </c>
      <c r="S134" s="24">
        <v>0.54</v>
      </c>
      <c r="T134" s="23">
        <v>0.17815803456075652</v>
      </c>
    </row>
    <row r="135" spans="1:20" x14ac:dyDescent="0.25">
      <c r="A135" s="24" t="s">
        <v>174</v>
      </c>
      <c r="B135" s="14">
        <v>0.71</v>
      </c>
      <c r="C135" s="4">
        <v>5.1100000000000003</v>
      </c>
      <c r="D135" s="52">
        <v>4</v>
      </c>
      <c r="E135" s="52">
        <v>3</v>
      </c>
      <c r="F135" s="5">
        <v>6</v>
      </c>
      <c r="G135" s="176">
        <v>1</v>
      </c>
      <c r="H135" s="179">
        <v>3</v>
      </c>
      <c r="I135" s="24" t="s">
        <v>46</v>
      </c>
      <c r="J135" s="24"/>
      <c r="K135" s="24"/>
      <c r="L135" s="24"/>
      <c r="M135" s="24"/>
      <c r="N135" s="24"/>
      <c r="O135" s="24"/>
      <c r="P135" s="24"/>
      <c r="Q135" s="24"/>
      <c r="R135" s="24" t="s">
        <v>78</v>
      </c>
      <c r="S135" s="24">
        <v>0.71</v>
      </c>
      <c r="T135" s="23">
        <v>0.17642212045288908</v>
      </c>
    </row>
    <row r="136" spans="1:20" x14ac:dyDescent="0.25">
      <c r="A136" s="24" t="s">
        <v>175</v>
      </c>
      <c r="B136" s="14">
        <v>0.68</v>
      </c>
      <c r="C136" s="4">
        <v>1.93</v>
      </c>
      <c r="D136" s="52">
        <v>4</v>
      </c>
      <c r="E136" s="52">
        <v>3</v>
      </c>
      <c r="F136" s="5">
        <v>6</v>
      </c>
      <c r="G136" s="176">
        <v>6</v>
      </c>
      <c r="H136" s="179">
        <v>4</v>
      </c>
      <c r="I136" s="24"/>
      <c r="J136" s="24"/>
      <c r="K136" s="24"/>
      <c r="L136" s="24"/>
      <c r="M136" s="24"/>
      <c r="N136" s="24"/>
      <c r="O136" s="24"/>
      <c r="P136" s="24"/>
      <c r="Q136" s="24"/>
      <c r="R136" s="24" t="s">
        <v>78</v>
      </c>
      <c r="S136" s="24">
        <v>0.68</v>
      </c>
      <c r="T136" s="23">
        <v>0.17630728154544539</v>
      </c>
    </row>
    <row r="137" spans="1:20" x14ac:dyDescent="0.25">
      <c r="A137" s="24" t="s">
        <v>176</v>
      </c>
      <c r="B137" s="3">
        <v>0.8</v>
      </c>
      <c r="C137" s="4">
        <v>1.98</v>
      </c>
      <c r="D137" s="52">
        <v>4</v>
      </c>
      <c r="E137" s="52">
        <v>3</v>
      </c>
      <c r="F137" s="5">
        <v>6</v>
      </c>
      <c r="G137" s="176">
        <v>1</v>
      </c>
      <c r="H137" s="179">
        <v>4</v>
      </c>
      <c r="I137" s="24"/>
      <c r="J137" s="24"/>
      <c r="K137" s="24"/>
      <c r="L137" s="24"/>
      <c r="M137" s="24"/>
      <c r="N137" s="24"/>
      <c r="O137" s="24"/>
      <c r="P137" s="24"/>
      <c r="Q137" s="24"/>
      <c r="R137" s="24" t="s">
        <v>78</v>
      </c>
      <c r="S137" s="24">
        <v>0.8</v>
      </c>
      <c r="T137" s="23">
        <v>0.17627550214324839</v>
      </c>
    </row>
    <row r="138" spans="1:20" x14ac:dyDescent="0.25">
      <c r="A138" s="24" t="s">
        <v>177</v>
      </c>
      <c r="B138" s="14">
        <v>0.62</v>
      </c>
      <c r="C138" s="4">
        <v>2.5</v>
      </c>
      <c r="D138" s="52">
        <v>1</v>
      </c>
      <c r="E138" s="52">
        <v>4</v>
      </c>
      <c r="F138" s="5">
        <v>4</v>
      </c>
      <c r="G138" s="176">
        <v>3</v>
      </c>
      <c r="H138" s="179">
        <v>4</v>
      </c>
      <c r="I138" s="24"/>
      <c r="J138" s="24"/>
      <c r="K138" s="24"/>
      <c r="L138" s="24" t="s">
        <v>25</v>
      </c>
      <c r="M138" s="24"/>
      <c r="N138" s="24"/>
      <c r="O138" s="24"/>
      <c r="P138" s="24"/>
      <c r="Q138" s="24"/>
      <c r="R138" s="24" t="s">
        <v>78</v>
      </c>
      <c r="S138" s="24">
        <v>0.62</v>
      </c>
      <c r="T138" s="23">
        <v>0.17523383371639967</v>
      </c>
    </row>
    <row r="139" spans="1:20" x14ac:dyDescent="0.25">
      <c r="A139" s="24" t="s">
        <v>178</v>
      </c>
      <c r="B139" s="3">
        <v>1</v>
      </c>
      <c r="C139" s="4">
        <v>2.06</v>
      </c>
      <c r="D139" s="52">
        <v>3</v>
      </c>
      <c r="E139" s="52">
        <v>4</v>
      </c>
      <c r="F139" s="5">
        <v>5</v>
      </c>
      <c r="G139" s="176">
        <v>2</v>
      </c>
      <c r="H139" s="179">
        <v>4</v>
      </c>
      <c r="I139" s="24"/>
      <c r="J139" s="24"/>
      <c r="K139" s="24" t="s">
        <v>109</v>
      </c>
      <c r="L139" s="24"/>
      <c r="M139" s="24"/>
      <c r="N139" s="24"/>
      <c r="O139" s="24"/>
      <c r="P139" s="24"/>
      <c r="Q139" s="24"/>
      <c r="R139" s="24" t="s">
        <v>78</v>
      </c>
      <c r="S139" s="24">
        <v>1</v>
      </c>
      <c r="T139" s="23">
        <v>0.17376140108182245</v>
      </c>
    </row>
    <row r="140" spans="1:20" x14ac:dyDescent="0.25">
      <c r="A140" s="24" t="s">
        <v>179</v>
      </c>
      <c r="B140" s="18">
        <v>0.33</v>
      </c>
      <c r="C140" s="4">
        <v>6.11</v>
      </c>
      <c r="D140" s="52">
        <v>4</v>
      </c>
      <c r="E140" s="52">
        <v>3</v>
      </c>
      <c r="F140" s="5">
        <v>6</v>
      </c>
      <c r="G140" s="176">
        <v>3</v>
      </c>
      <c r="H140" s="15"/>
      <c r="I140" s="24" t="s">
        <v>46</v>
      </c>
      <c r="J140" s="24"/>
      <c r="K140" s="24"/>
      <c r="L140" s="24"/>
      <c r="M140" s="24"/>
      <c r="N140" s="24"/>
      <c r="O140" s="24"/>
      <c r="P140" s="24"/>
      <c r="Q140" s="24"/>
      <c r="R140" s="24" t="s">
        <v>78</v>
      </c>
      <c r="S140" s="24">
        <v>0.33</v>
      </c>
      <c r="T140" s="23">
        <v>0.17284516258990329</v>
      </c>
    </row>
    <row r="141" spans="1:20" x14ac:dyDescent="0.25">
      <c r="A141" s="24" t="s">
        <v>180</v>
      </c>
      <c r="B141" s="3">
        <v>0.9</v>
      </c>
      <c r="C141" s="4">
        <v>2.9</v>
      </c>
      <c r="D141" s="52">
        <v>4</v>
      </c>
      <c r="E141" s="52">
        <v>4</v>
      </c>
      <c r="F141" s="5">
        <v>6</v>
      </c>
      <c r="G141" s="176">
        <v>3</v>
      </c>
      <c r="H141" s="179">
        <v>3</v>
      </c>
      <c r="I141" s="24" t="s">
        <v>46</v>
      </c>
      <c r="J141" s="24"/>
      <c r="K141" s="24" t="s">
        <v>109</v>
      </c>
      <c r="L141" s="24"/>
      <c r="M141" s="24"/>
      <c r="N141" s="24"/>
      <c r="O141" s="24"/>
      <c r="P141" s="24"/>
      <c r="Q141" s="24"/>
      <c r="R141" s="24" t="s">
        <v>78</v>
      </c>
      <c r="S141" s="24">
        <v>0.9</v>
      </c>
      <c r="T141" s="23">
        <v>0.17186868804502425</v>
      </c>
    </row>
    <row r="142" spans="1:20" x14ac:dyDescent="0.25">
      <c r="A142" s="24" t="s">
        <v>181</v>
      </c>
      <c r="B142" s="19">
        <v>0.46</v>
      </c>
      <c r="C142" s="4">
        <v>4.09</v>
      </c>
      <c r="D142" s="52">
        <v>4</v>
      </c>
      <c r="E142" s="52">
        <v>4</v>
      </c>
      <c r="F142" s="5">
        <v>6</v>
      </c>
      <c r="G142" s="176">
        <v>3</v>
      </c>
      <c r="H142" s="15"/>
      <c r="I142" s="24"/>
      <c r="J142" s="24"/>
      <c r="K142" s="24"/>
      <c r="L142" s="24"/>
      <c r="M142" s="24"/>
      <c r="N142" s="24" t="s">
        <v>25</v>
      </c>
      <c r="O142" s="24"/>
      <c r="P142" s="24"/>
      <c r="Q142" s="24"/>
      <c r="R142" s="24" t="s">
        <v>78</v>
      </c>
      <c r="S142" s="24">
        <v>0.46</v>
      </c>
      <c r="T142" s="23">
        <v>0.17050854863313269</v>
      </c>
    </row>
    <row r="143" spans="1:20" x14ac:dyDescent="0.25">
      <c r="A143" s="24" t="s">
        <v>182</v>
      </c>
      <c r="B143" s="3">
        <v>1</v>
      </c>
      <c r="C143" s="4">
        <v>3.6</v>
      </c>
      <c r="D143" s="52">
        <v>4</v>
      </c>
      <c r="E143" s="52">
        <v>4</v>
      </c>
      <c r="F143" s="5">
        <v>4</v>
      </c>
      <c r="G143" s="176">
        <v>3</v>
      </c>
      <c r="H143" s="179">
        <v>5</v>
      </c>
      <c r="I143" s="24" t="s">
        <v>47</v>
      </c>
      <c r="J143" s="24"/>
      <c r="K143" s="24"/>
      <c r="L143" s="24"/>
      <c r="M143" s="24"/>
      <c r="N143" s="24"/>
      <c r="O143" s="24"/>
      <c r="P143" s="24"/>
      <c r="Q143" s="24"/>
      <c r="R143" s="24" t="s">
        <v>78</v>
      </c>
      <c r="S143" s="24">
        <v>1</v>
      </c>
      <c r="T143" s="26">
        <v>0.17018173092330063</v>
      </c>
    </row>
    <row r="144" spans="1:20" x14ac:dyDescent="0.25">
      <c r="A144" s="24" t="s">
        <v>183</v>
      </c>
      <c r="B144" s="3">
        <v>0.93</v>
      </c>
      <c r="C144" s="4">
        <v>1.88</v>
      </c>
      <c r="D144" s="52">
        <v>4</v>
      </c>
      <c r="E144" s="52">
        <v>4</v>
      </c>
      <c r="F144" s="5">
        <v>6</v>
      </c>
      <c r="G144" s="176">
        <v>1</v>
      </c>
      <c r="H144" s="179">
        <v>3</v>
      </c>
      <c r="I144" s="24" t="s">
        <v>46</v>
      </c>
      <c r="J144" s="24"/>
      <c r="K144" s="24"/>
      <c r="L144" s="24"/>
      <c r="M144" s="24"/>
      <c r="N144" s="24"/>
      <c r="O144" s="24" t="s">
        <v>46</v>
      </c>
      <c r="P144" s="24"/>
      <c r="Q144" s="24"/>
      <c r="R144" s="24" t="s">
        <v>78</v>
      </c>
      <c r="S144" s="24">
        <v>0.93</v>
      </c>
      <c r="T144" s="23">
        <v>0.16960732202647832</v>
      </c>
    </row>
    <row r="145" spans="1:20" x14ac:dyDescent="0.25">
      <c r="A145" s="24" t="s">
        <v>184</v>
      </c>
      <c r="B145" s="14">
        <v>0.71</v>
      </c>
      <c r="C145" s="4">
        <v>2.2999999999999998</v>
      </c>
      <c r="D145" s="52">
        <v>5</v>
      </c>
      <c r="E145" s="52">
        <v>4</v>
      </c>
      <c r="F145" s="5">
        <v>6</v>
      </c>
      <c r="G145" s="176">
        <v>3</v>
      </c>
      <c r="H145" s="179">
        <v>5</v>
      </c>
      <c r="I145" s="24"/>
      <c r="J145" s="24"/>
      <c r="K145" s="24" t="s">
        <v>109</v>
      </c>
      <c r="L145" s="24"/>
      <c r="M145" s="24"/>
      <c r="N145" s="24"/>
      <c r="O145" s="24"/>
      <c r="P145" s="24"/>
      <c r="Q145" s="24"/>
      <c r="R145" s="24" t="s">
        <v>78</v>
      </c>
      <c r="S145" s="24">
        <v>0.71</v>
      </c>
      <c r="T145" s="23">
        <v>0.16928832763366466</v>
      </c>
    </row>
    <row r="146" spans="1:20" x14ac:dyDescent="0.25">
      <c r="A146" s="24" t="s">
        <v>185</v>
      </c>
      <c r="B146" s="18">
        <v>0.39</v>
      </c>
      <c r="C146" s="4">
        <v>1.96</v>
      </c>
      <c r="D146" s="52">
        <v>4</v>
      </c>
      <c r="E146" s="52">
        <v>3</v>
      </c>
      <c r="F146" s="5">
        <v>6</v>
      </c>
      <c r="G146" s="176">
        <v>2</v>
      </c>
      <c r="H146" s="179">
        <v>4</v>
      </c>
      <c r="I146" s="24"/>
      <c r="J146" s="24"/>
      <c r="K146" s="24" t="s">
        <v>92</v>
      </c>
      <c r="L146" s="24"/>
      <c r="M146" s="24"/>
      <c r="N146" s="24" t="s">
        <v>33</v>
      </c>
      <c r="O146" s="24"/>
      <c r="P146" s="24"/>
      <c r="Q146" s="24"/>
      <c r="R146" s="24" t="s">
        <v>78</v>
      </c>
      <c r="S146" s="24">
        <v>0.39</v>
      </c>
      <c r="T146" s="23">
        <v>0.16919742277172245</v>
      </c>
    </row>
    <row r="147" spans="1:20" x14ac:dyDescent="0.25">
      <c r="A147" s="24" t="s">
        <v>186</v>
      </c>
      <c r="B147" s="14">
        <v>0.61</v>
      </c>
      <c r="C147" s="4">
        <v>1.95</v>
      </c>
      <c r="D147" s="52">
        <v>3</v>
      </c>
      <c r="E147" s="52">
        <v>4</v>
      </c>
      <c r="F147" s="5">
        <v>7</v>
      </c>
      <c r="G147" s="176">
        <v>1</v>
      </c>
      <c r="H147" s="179">
        <v>5</v>
      </c>
      <c r="I147" s="24"/>
      <c r="J147" s="24"/>
      <c r="K147" s="24"/>
      <c r="L147" s="24"/>
      <c r="M147" s="24"/>
      <c r="N147" s="24"/>
      <c r="O147" s="24"/>
      <c r="P147" s="24"/>
      <c r="Q147" s="24"/>
      <c r="R147" s="24" t="s">
        <v>78</v>
      </c>
      <c r="S147" s="24">
        <v>0.61</v>
      </c>
      <c r="T147" s="23">
        <v>0.16893914684569908</v>
      </c>
    </row>
    <row r="148" spans="1:20" x14ac:dyDescent="0.25">
      <c r="A148" s="24" t="s">
        <v>187</v>
      </c>
      <c r="B148" s="3">
        <v>1</v>
      </c>
      <c r="C148" s="4">
        <v>7.36</v>
      </c>
      <c r="D148" s="52">
        <v>1</v>
      </c>
      <c r="E148" s="52">
        <v>4</v>
      </c>
      <c r="F148" s="5">
        <v>5</v>
      </c>
      <c r="G148" s="176">
        <v>3</v>
      </c>
      <c r="H148" s="179">
        <v>5</v>
      </c>
      <c r="I148" s="24"/>
      <c r="J148" s="24"/>
      <c r="K148" s="24"/>
      <c r="L148" s="24"/>
      <c r="M148" s="24"/>
      <c r="N148" s="24"/>
      <c r="O148" s="24" t="s">
        <v>46</v>
      </c>
      <c r="P148" s="24"/>
      <c r="Q148" s="24"/>
      <c r="R148" s="24" t="s">
        <v>78</v>
      </c>
      <c r="S148" s="24">
        <v>1</v>
      </c>
      <c r="T148" s="23">
        <v>0.16880110977681789</v>
      </c>
    </row>
    <row r="149" spans="1:20" x14ac:dyDescent="0.25">
      <c r="A149" s="24" t="s">
        <v>188</v>
      </c>
      <c r="B149" s="14">
        <v>0.66</v>
      </c>
      <c r="C149" s="4">
        <v>3.88</v>
      </c>
      <c r="D149" s="52">
        <v>5</v>
      </c>
      <c r="E149" s="52">
        <v>3</v>
      </c>
      <c r="F149" s="5">
        <v>6</v>
      </c>
      <c r="G149" s="176">
        <v>3</v>
      </c>
      <c r="H149" s="179">
        <v>3</v>
      </c>
      <c r="I149" s="24" t="s">
        <v>25</v>
      </c>
      <c r="J149" s="24"/>
      <c r="K149" s="24" t="s">
        <v>92</v>
      </c>
      <c r="L149" s="24"/>
      <c r="M149" s="24"/>
      <c r="N149" s="24"/>
      <c r="O149" s="24"/>
      <c r="P149" s="24"/>
      <c r="Q149" s="24"/>
      <c r="R149" s="24" t="s">
        <v>78</v>
      </c>
      <c r="S149" s="24">
        <v>0.66</v>
      </c>
      <c r="T149" s="23">
        <v>0.16866598542801814</v>
      </c>
    </row>
    <row r="150" spans="1:20" x14ac:dyDescent="0.25">
      <c r="A150" s="24" t="s">
        <v>189</v>
      </c>
      <c r="B150" s="14">
        <v>0.69</v>
      </c>
      <c r="C150" s="4">
        <v>1.99</v>
      </c>
      <c r="D150" s="52">
        <v>5</v>
      </c>
      <c r="E150" s="52">
        <v>4</v>
      </c>
      <c r="F150" s="5">
        <v>6</v>
      </c>
      <c r="G150" s="176">
        <v>3</v>
      </c>
      <c r="H150" s="15"/>
      <c r="I150" s="24"/>
      <c r="J150" s="24"/>
      <c r="K150" s="24" t="s">
        <v>92</v>
      </c>
      <c r="L150" s="24"/>
      <c r="M150" s="24"/>
      <c r="N150" s="24"/>
      <c r="O150" s="24"/>
      <c r="P150" s="24"/>
      <c r="Q150" s="24"/>
      <c r="R150" s="24" t="s">
        <v>78</v>
      </c>
      <c r="S150" s="24">
        <v>0.69</v>
      </c>
      <c r="T150" s="23">
        <v>0.16753401391384914</v>
      </c>
    </row>
    <row r="151" spans="1:20" x14ac:dyDescent="0.25">
      <c r="A151" s="24" t="s">
        <v>190</v>
      </c>
      <c r="B151" s="14">
        <v>0.65</v>
      </c>
      <c r="C151" s="4">
        <v>2.02</v>
      </c>
      <c r="D151" s="52">
        <v>4</v>
      </c>
      <c r="E151" s="52">
        <v>4</v>
      </c>
      <c r="F151" s="5">
        <v>6</v>
      </c>
      <c r="G151" s="176">
        <v>3</v>
      </c>
      <c r="H151" s="179">
        <v>4</v>
      </c>
      <c r="I151" s="24"/>
      <c r="J151" s="24"/>
      <c r="K151" s="24" t="s">
        <v>92</v>
      </c>
      <c r="L151" s="24"/>
      <c r="M151" s="24"/>
      <c r="N151" s="24"/>
      <c r="O151" s="24"/>
      <c r="P151" s="24"/>
      <c r="Q151" s="24"/>
      <c r="R151" s="24" t="s">
        <v>78</v>
      </c>
      <c r="S151" s="24">
        <v>0.65</v>
      </c>
      <c r="T151" s="23">
        <v>0.16703263956068587</v>
      </c>
    </row>
    <row r="152" spans="1:20" x14ac:dyDescent="0.25">
      <c r="A152" s="24" t="s">
        <v>191</v>
      </c>
      <c r="B152" s="3">
        <v>1</v>
      </c>
      <c r="C152" s="4">
        <v>4.37</v>
      </c>
      <c r="D152" s="52">
        <v>3</v>
      </c>
      <c r="E152" s="52">
        <v>4</v>
      </c>
      <c r="F152" s="5">
        <v>6</v>
      </c>
      <c r="G152" s="176">
        <v>1</v>
      </c>
      <c r="H152" s="15"/>
      <c r="I152" s="24"/>
      <c r="J152" s="24"/>
      <c r="K152" s="24"/>
      <c r="L152" s="24"/>
      <c r="M152" s="24"/>
      <c r="N152" s="24"/>
      <c r="O152" s="24"/>
      <c r="P152" s="24"/>
      <c r="Q152" s="24"/>
      <c r="R152" s="24" t="s">
        <v>78</v>
      </c>
      <c r="S152" s="24">
        <v>1</v>
      </c>
      <c r="T152" s="23">
        <v>0.16615302730330128</v>
      </c>
    </row>
    <row r="153" spans="1:20" x14ac:dyDescent="0.25">
      <c r="A153" s="24" t="s">
        <v>192</v>
      </c>
      <c r="B153" s="19">
        <v>0.59</v>
      </c>
      <c r="C153" s="4">
        <v>3.03</v>
      </c>
      <c r="D153" s="52">
        <v>1</v>
      </c>
      <c r="E153" s="52">
        <v>4</v>
      </c>
      <c r="F153" s="5">
        <v>4</v>
      </c>
      <c r="G153" s="176">
        <v>2</v>
      </c>
      <c r="H153" s="179">
        <v>3</v>
      </c>
      <c r="I153" s="24"/>
      <c r="J153" s="24"/>
      <c r="K153" s="24"/>
      <c r="L153" s="24" t="s">
        <v>33</v>
      </c>
      <c r="M153" s="24"/>
      <c r="N153" s="24"/>
      <c r="O153" s="24"/>
      <c r="P153" s="24"/>
      <c r="Q153" s="24"/>
      <c r="R153" s="24" t="s">
        <v>78</v>
      </c>
      <c r="S153" s="24">
        <v>0.59</v>
      </c>
      <c r="T153" s="23">
        <v>0.16591047227500461</v>
      </c>
    </row>
    <row r="154" spans="1:20" x14ac:dyDescent="0.25">
      <c r="A154" s="24" t="s">
        <v>193</v>
      </c>
      <c r="B154" s="3">
        <v>0.89</v>
      </c>
      <c r="C154" s="4">
        <v>1.86</v>
      </c>
      <c r="D154" s="52">
        <v>1</v>
      </c>
      <c r="E154" s="52">
        <v>4</v>
      </c>
      <c r="F154" s="5">
        <v>5</v>
      </c>
      <c r="G154" s="176">
        <v>2</v>
      </c>
      <c r="H154" s="179">
        <v>3</v>
      </c>
      <c r="I154" s="24"/>
      <c r="J154" s="24"/>
      <c r="K154" s="24"/>
      <c r="L154" s="24"/>
      <c r="M154" s="24"/>
      <c r="N154" s="24"/>
      <c r="O154" s="24"/>
      <c r="P154" s="24"/>
      <c r="Q154" s="24"/>
      <c r="R154" s="24" t="s">
        <v>78</v>
      </c>
      <c r="S154" s="24">
        <v>0.89</v>
      </c>
      <c r="T154" s="23">
        <v>0.16358325942773688</v>
      </c>
    </row>
    <row r="155" spans="1:20" x14ac:dyDescent="0.25">
      <c r="A155" s="24" t="s">
        <v>194</v>
      </c>
      <c r="B155" s="3">
        <v>0.89</v>
      </c>
      <c r="C155" s="4">
        <v>3.52</v>
      </c>
      <c r="D155" s="52">
        <v>4</v>
      </c>
      <c r="E155" s="52">
        <v>4</v>
      </c>
      <c r="F155" s="5">
        <v>4</v>
      </c>
      <c r="G155" s="176">
        <v>2</v>
      </c>
      <c r="H155" s="179">
        <v>5</v>
      </c>
      <c r="I155" s="24" t="s">
        <v>25</v>
      </c>
      <c r="J155" s="24"/>
      <c r="K155" s="24"/>
      <c r="L155" s="24"/>
      <c r="M155" s="24"/>
      <c r="N155" s="24"/>
      <c r="O155" s="24"/>
      <c r="P155" s="24"/>
      <c r="Q155" s="24"/>
      <c r="R155" s="24" t="s">
        <v>78</v>
      </c>
      <c r="S155" s="24">
        <v>0.89</v>
      </c>
      <c r="T155" s="23">
        <v>0.16186587042897504</v>
      </c>
    </row>
    <row r="156" spans="1:20" x14ac:dyDescent="0.25">
      <c r="A156" s="24" t="s">
        <v>195</v>
      </c>
      <c r="B156" s="3">
        <v>0.8</v>
      </c>
      <c r="C156" s="4">
        <v>2.04</v>
      </c>
      <c r="D156" s="52">
        <v>4</v>
      </c>
      <c r="E156" s="52">
        <v>4</v>
      </c>
      <c r="F156" s="5">
        <v>6</v>
      </c>
      <c r="G156" s="176">
        <v>1</v>
      </c>
      <c r="H156" s="179">
        <v>3</v>
      </c>
      <c r="I156" s="24"/>
      <c r="J156" s="24"/>
      <c r="K156" s="24"/>
      <c r="L156" s="24"/>
      <c r="M156" s="24"/>
      <c r="N156" s="24"/>
      <c r="O156" s="24"/>
      <c r="P156" s="24"/>
      <c r="Q156" s="24"/>
      <c r="R156" s="24" t="s">
        <v>78</v>
      </c>
      <c r="S156" s="24">
        <v>0.8</v>
      </c>
      <c r="T156" s="23">
        <v>0.16035408610433188</v>
      </c>
    </row>
    <row r="157" spans="1:20" x14ac:dyDescent="0.25">
      <c r="A157" s="24" t="s">
        <v>196</v>
      </c>
      <c r="B157" s="3">
        <v>0.81</v>
      </c>
      <c r="C157" s="4">
        <v>1.92</v>
      </c>
      <c r="D157" s="52">
        <v>4</v>
      </c>
      <c r="E157" s="52">
        <v>3</v>
      </c>
      <c r="F157" s="5">
        <v>6</v>
      </c>
      <c r="G157" s="176">
        <v>2</v>
      </c>
      <c r="H157" s="15"/>
      <c r="I157" s="24"/>
      <c r="J157" s="24"/>
      <c r="K157" s="24"/>
      <c r="L157" s="24"/>
      <c r="M157" s="24"/>
      <c r="N157" s="24"/>
      <c r="O157" s="24"/>
      <c r="P157" s="24"/>
      <c r="Q157" s="24"/>
      <c r="R157" s="24" t="s">
        <v>78</v>
      </c>
      <c r="S157" s="24">
        <v>0.81</v>
      </c>
      <c r="T157" s="23">
        <v>0.1593701691901028</v>
      </c>
    </row>
    <row r="158" spans="1:20" x14ac:dyDescent="0.25">
      <c r="A158" s="24" t="s">
        <v>197</v>
      </c>
      <c r="B158" s="19">
        <v>0.59</v>
      </c>
      <c r="C158" s="4">
        <v>6.04</v>
      </c>
      <c r="D158" s="52">
        <v>1</v>
      </c>
      <c r="E158" s="52">
        <v>4</v>
      </c>
      <c r="F158" s="5">
        <v>4</v>
      </c>
      <c r="G158" s="176">
        <v>3</v>
      </c>
      <c r="H158" s="179">
        <v>3</v>
      </c>
      <c r="I158" s="24" t="s">
        <v>46</v>
      </c>
      <c r="J158" s="24"/>
      <c r="K158" s="24"/>
      <c r="L158" s="24"/>
      <c r="M158" s="24"/>
      <c r="N158" s="24"/>
      <c r="O158" s="24"/>
      <c r="P158" s="24"/>
      <c r="Q158" s="24"/>
      <c r="R158" s="24" t="s">
        <v>78</v>
      </c>
      <c r="S158" s="24">
        <v>0.59</v>
      </c>
      <c r="T158" s="23">
        <v>0.15855532044080045</v>
      </c>
    </row>
    <row r="159" spans="1:20" x14ac:dyDescent="0.25">
      <c r="A159" s="24" t="s">
        <v>198</v>
      </c>
      <c r="B159" s="14">
        <v>0.61</v>
      </c>
      <c r="C159" s="4">
        <v>2.82</v>
      </c>
      <c r="D159" s="52">
        <v>1</v>
      </c>
      <c r="E159" s="52">
        <v>3</v>
      </c>
      <c r="F159" s="5">
        <v>6</v>
      </c>
      <c r="G159" s="176">
        <v>3</v>
      </c>
      <c r="H159" s="179">
        <v>3</v>
      </c>
      <c r="I159" s="24"/>
      <c r="J159" s="24"/>
      <c r="K159" s="24"/>
      <c r="L159" s="24"/>
      <c r="M159" s="24"/>
      <c r="N159" s="24"/>
      <c r="O159" s="24"/>
      <c r="P159" s="24"/>
      <c r="Q159" s="24"/>
      <c r="R159" s="24" t="s">
        <v>78</v>
      </c>
      <c r="S159" s="24">
        <v>0.61</v>
      </c>
      <c r="T159" s="23">
        <v>0.1579357848255416</v>
      </c>
    </row>
    <row r="160" spans="1:20" x14ac:dyDescent="0.25">
      <c r="A160" s="24" t="s">
        <v>199</v>
      </c>
      <c r="B160" s="19">
        <v>0.57999999999999996</v>
      </c>
      <c r="C160" s="4">
        <v>6.94</v>
      </c>
      <c r="D160" s="52">
        <v>4</v>
      </c>
      <c r="E160" s="52">
        <v>3</v>
      </c>
      <c r="F160" s="5">
        <v>6</v>
      </c>
      <c r="G160" s="176">
        <v>3</v>
      </c>
      <c r="H160" s="179">
        <v>3</v>
      </c>
      <c r="I160" s="24" t="s">
        <v>33</v>
      </c>
      <c r="J160" s="24"/>
      <c r="K160" s="24" t="s">
        <v>109</v>
      </c>
      <c r="L160" s="24"/>
      <c r="M160" s="24"/>
      <c r="N160" s="24" t="s">
        <v>26</v>
      </c>
      <c r="O160" s="24"/>
      <c r="P160" s="24"/>
      <c r="Q160" s="24"/>
      <c r="R160" s="24" t="s">
        <v>78</v>
      </c>
      <c r="S160" s="24">
        <v>0.57999999999999996</v>
      </c>
      <c r="T160" s="23">
        <v>0.15740664041348551</v>
      </c>
    </row>
    <row r="161" spans="1:20" x14ac:dyDescent="0.25">
      <c r="A161" s="24" t="s">
        <v>200</v>
      </c>
      <c r="B161" s="3">
        <v>0.92</v>
      </c>
      <c r="C161" s="4">
        <v>2.0099999999999998</v>
      </c>
      <c r="D161" s="52">
        <v>4</v>
      </c>
      <c r="E161" s="52">
        <v>4</v>
      </c>
      <c r="F161" s="5">
        <v>6</v>
      </c>
      <c r="G161" s="176">
        <v>1</v>
      </c>
      <c r="H161" s="179">
        <v>5</v>
      </c>
      <c r="I161" s="24"/>
      <c r="J161" s="24"/>
      <c r="K161" s="24"/>
      <c r="L161" s="24"/>
      <c r="M161" s="24"/>
      <c r="N161" s="24"/>
      <c r="O161" s="24"/>
      <c r="P161" s="24"/>
      <c r="Q161" s="24"/>
      <c r="R161" s="24" t="s">
        <v>78</v>
      </c>
      <c r="S161" s="24">
        <v>0.92</v>
      </c>
      <c r="T161" s="23">
        <v>0.15709612394584366</v>
      </c>
    </row>
    <row r="162" spans="1:20" x14ac:dyDescent="0.25">
      <c r="A162" s="24" t="s">
        <v>201</v>
      </c>
      <c r="B162" s="14">
        <v>0.79</v>
      </c>
      <c r="C162" s="4">
        <v>2.38</v>
      </c>
      <c r="D162" s="52">
        <v>5</v>
      </c>
      <c r="E162" s="52">
        <v>4</v>
      </c>
      <c r="F162" s="5">
        <v>7</v>
      </c>
      <c r="G162" s="176">
        <v>2</v>
      </c>
      <c r="H162" s="179">
        <v>3</v>
      </c>
      <c r="I162" s="24"/>
      <c r="J162" s="24"/>
      <c r="K162" s="24"/>
      <c r="L162" s="24"/>
      <c r="M162" s="24"/>
      <c r="N162" s="24"/>
      <c r="O162" s="24"/>
      <c r="P162" s="24"/>
      <c r="Q162" s="24"/>
      <c r="R162" s="24" t="s">
        <v>78</v>
      </c>
      <c r="S162" s="24">
        <v>0.79</v>
      </c>
      <c r="T162" s="23">
        <v>0.156559445113019</v>
      </c>
    </row>
    <row r="163" spans="1:20" x14ac:dyDescent="0.25">
      <c r="A163" s="24" t="s">
        <v>202</v>
      </c>
      <c r="B163" s="14">
        <v>0.71</v>
      </c>
      <c r="C163" s="4">
        <v>2.0699999999999998</v>
      </c>
      <c r="D163" s="52">
        <v>3</v>
      </c>
      <c r="E163" s="52">
        <v>4</v>
      </c>
      <c r="F163" s="5">
        <v>6</v>
      </c>
      <c r="G163" s="176">
        <v>1</v>
      </c>
      <c r="H163" s="179">
        <v>5</v>
      </c>
      <c r="I163" s="24"/>
      <c r="J163" s="24"/>
      <c r="K163" s="24"/>
      <c r="L163" s="24"/>
      <c r="M163" s="24"/>
      <c r="N163" s="24"/>
      <c r="O163" s="24"/>
      <c r="P163" s="24"/>
      <c r="Q163" s="24"/>
      <c r="R163" s="24" t="s">
        <v>78</v>
      </c>
      <c r="S163" s="24">
        <v>0.71</v>
      </c>
      <c r="T163" s="23">
        <v>0.15612092816482262</v>
      </c>
    </row>
    <row r="164" spans="1:20" x14ac:dyDescent="0.25">
      <c r="A164" s="24" t="s">
        <v>203</v>
      </c>
      <c r="B164" s="14">
        <v>0.64</v>
      </c>
      <c r="C164" s="4">
        <v>2.34</v>
      </c>
      <c r="D164" s="52">
        <v>5</v>
      </c>
      <c r="E164" s="52">
        <v>3</v>
      </c>
      <c r="F164" s="5">
        <v>7</v>
      </c>
      <c r="G164" s="176">
        <v>3</v>
      </c>
      <c r="H164" s="179">
        <v>3</v>
      </c>
      <c r="I164" s="24" t="s">
        <v>46</v>
      </c>
      <c r="J164" s="24"/>
      <c r="K164" s="24" t="s">
        <v>109</v>
      </c>
      <c r="L164" s="24"/>
      <c r="M164" s="24"/>
      <c r="N164" s="24"/>
      <c r="O164" s="24"/>
      <c r="P164" s="24"/>
      <c r="Q164" s="24"/>
      <c r="R164" s="24" t="s">
        <v>78</v>
      </c>
      <c r="S164" s="24">
        <v>0.64</v>
      </c>
      <c r="T164" s="23">
        <v>0.1558584049510548</v>
      </c>
    </row>
    <row r="165" spans="1:20" x14ac:dyDescent="0.25">
      <c r="A165" s="24" t="s">
        <v>204</v>
      </c>
      <c r="B165" s="3">
        <v>0.85</v>
      </c>
      <c r="C165" s="4">
        <v>3.83</v>
      </c>
      <c r="D165" s="52">
        <v>1</v>
      </c>
      <c r="E165" s="52">
        <v>3</v>
      </c>
      <c r="F165" s="5">
        <v>6</v>
      </c>
      <c r="G165" s="176">
        <v>3</v>
      </c>
      <c r="H165" s="179">
        <v>3</v>
      </c>
      <c r="I165" s="24" t="s">
        <v>25</v>
      </c>
      <c r="J165" s="24"/>
      <c r="K165" s="24" t="s">
        <v>109</v>
      </c>
      <c r="L165" s="24"/>
      <c r="M165" s="24"/>
      <c r="N165" s="24"/>
      <c r="O165" s="24"/>
      <c r="P165" s="24"/>
      <c r="Q165" s="24"/>
      <c r="R165" s="24" t="s">
        <v>78</v>
      </c>
      <c r="S165" s="24">
        <v>0.85</v>
      </c>
      <c r="T165" s="23">
        <v>0.15319554490444282</v>
      </c>
    </row>
    <row r="166" spans="1:20" x14ac:dyDescent="0.25">
      <c r="A166" s="24" t="s">
        <v>205</v>
      </c>
      <c r="B166" s="3">
        <v>0.93</v>
      </c>
      <c r="C166" s="4">
        <v>3.56</v>
      </c>
      <c r="D166" s="52">
        <v>4</v>
      </c>
      <c r="E166" s="52">
        <v>4</v>
      </c>
      <c r="F166" s="5">
        <v>5</v>
      </c>
      <c r="G166" s="176">
        <v>1</v>
      </c>
      <c r="H166" s="179">
        <v>5</v>
      </c>
      <c r="I166" s="24" t="s">
        <v>46</v>
      </c>
      <c r="J166" s="24"/>
      <c r="K166" s="24" t="s">
        <v>92</v>
      </c>
      <c r="L166" s="24"/>
      <c r="M166" s="24"/>
      <c r="N166" s="24"/>
      <c r="O166" s="24"/>
      <c r="P166" s="24"/>
      <c r="Q166" s="24"/>
      <c r="R166" s="24" t="s">
        <v>78</v>
      </c>
      <c r="S166" s="24">
        <v>0.93</v>
      </c>
      <c r="T166" s="23">
        <v>0.15257035529614979</v>
      </c>
    </row>
    <row r="167" spans="1:20" x14ac:dyDescent="0.25">
      <c r="A167" s="24" t="s">
        <v>206</v>
      </c>
      <c r="B167" s="19">
        <v>0.53</v>
      </c>
      <c r="C167" s="4">
        <v>7.02</v>
      </c>
      <c r="D167" s="52">
        <v>4</v>
      </c>
      <c r="E167" s="52">
        <v>3</v>
      </c>
      <c r="F167" s="5">
        <v>6</v>
      </c>
      <c r="G167" s="176">
        <v>3</v>
      </c>
      <c r="H167" s="15"/>
      <c r="I167" s="24" t="s">
        <v>46</v>
      </c>
      <c r="J167" s="24"/>
      <c r="K167" s="24"/>
      <c r="L167" s="24"/>
      <c r="M167" s="24"/>
      <c r="N167" s="24"/>
      <c r="O167" s="24"/>
      <c r="P167" s="24"/>
      <c r="Q167" s="24"/>
      <c r="R167" s="24" t="s">
        <v>78</v>
      </c>
      <c r="S167" s="24">
        <v>0.53</v>
      </c>
      <c r="T167" s="23">
        <v>0.15240079192900582</v>
      </c>
    </row>
    <row r="168" spans="1:20" x14ac:dyDescent="0.25">
      <c r="A168" s="24" t="s">
        <v>207</v>
      </c>
      <c r="B168" s="14">
        <v>0.75</v>
      </c>
      <c r="C168" s="4">
        <v>2.15</v>
      </c>
      <c r="D168" s="52">
        <v>3</v>
      </c>
      <c r="E168" s="52">
        <v>4</v>
      </c>
      <c r="F168" s="5">
        <v>6</v>
      </c>
      <c r="G168" s="176">
        <v>3</v>
      </c>
      <c r="H168" s="15"/>
      <c r="I168" s="24"/>
      <c r="J168" s="24"/>
      <c r="K168" s="24" t="s">
        <v>109</v>
      </c>
      <c r="L168" s="24"/>
      <c r="M168" s="24" t="s">
        <v>33</v>
      </c>
      <c r="N168" s="24"/>
      <c r="O168" s="24"/>
      <c r="P168" s="24"/>
      <c r="Q168" s="24"/>
      <c r="R168" s="24" t="s">
        <v>78</v>
      </c>
      <c r="S168" s="24">
        <v>0.75</v>
      </c>
      <c r="T168" s="23">
        <v>0.15192269319955004</v>
      </c>
    </row>
    <row r="169" spans="1:20" x14ac:dyDescent="0.25">
      <c r="A169" s="24" t="s">
        <v>208</v>
      </c>
      <c r="B169" s="14">
        <v>0.67</v>
      </c>
      <c r="C169" s="4">
        <v>2.73</v>
      </c>
      <c r="D169" s="52">
        <v>4</v>
      </c>
      <c r="E169" s="52">
        <v>4</v>
      </c>
      <c r="F169" s="5">
        <v>6</v>
      </c>
      <c r="G169" s="176">
        <v>3</v>
      </c>
      <c r="H169" s="179">
        <v>3</v>
      </c>
      <c r="I169" s="24" t="s">
        <v>46</v>
      </c>
      <c r="J169" s="24" t="s">
        <v>92</v>
      </c>
      <c r="K169" s="24"/>
      <c r="L169" s="24"/>
      <c r="M169" s="24"/>
      <c r="N169" s="24"/>
      <c r="O169" s="24"/>
      <c r="P169" s="24"/>
      <c r="Q169" s="24"/>
      <c r="R169" s="24" t="s">
        <v>78</v>
      </c>
      <c r="S169" s="24">
        <v>0.67</v>
      </c>
      <c r="T169" s="23">
        <v>0.14476601901095429</v>
      </c>
    </row>
    <row r="170" spans="1:20" x14ac:dyDescent="0.25">
      <c r="A170" s="24" t="s">
        <v>209</v>
      </c>
      <c r="B170" s="14">
        <v>0.74</v>
      </c>
      <c r="C170" s="4">
        <v>2.11</v>
      </c>
      <c r="D170" s="52">
        <v>1</v>
      </c>
      <c r="E170" s="52">
        <v>4</v>
      </c>
      <c r="F170" s="5">
        <v>6</v>
      </c>
      <c r="G170" s="176">
        <v>3</v>
      </c>
      <c r="H170" s="179">
        <v>3</v>
      </c>
      <c r="I170" s="24"/>
      <c r="J170" s="24"/>
      <c r="K170" s="24"/>
      <c r="L170" s="24"/>
      <c r="M170" s="24"/>
      <c r="N170" s="24"/>
      <c r="O170" s="24"/>
      <c r="P170" s="24"/>
      <c r="Q170" s="24"/>
      <c r="R170" s="24" t="s">
        <v>78</v>
      </c>
      <c r="S170" s="24">
        <v>0.74</v>
      </c>
      <c r="T170" s="23">
        <v>0.14467348714034017</v>
      </c>
    </row>
    <row r="171" spans="1:20" x14ac:dyDescent="0.25">
      <c r="A171" s="24" t="s">
        <v>210</v>
      </c>
      <c r="B171" s="14">
        <v>0.74</v>
      </c>
      <c r="C171" s="4">
        <v>1.91</v>
      </c>
      <c r="D171" s="52">
        <v>4</v>
      </c>
      <c r="E171" s="52">
        <v>4</v>
      </c>
      <c r="F171" s="5">
        <v>7</v>
      </c>
      <c r="G171" s="176">
        <v>1</v>
      </c>
      <c r="H171" s="179">
        <v>4</v>
      </c>
      <c r="I171" s="24"/>
      <c r="J171" s="24"/>
      <c r="K171" s="24" t="s">
        <v>109</v>
      </c>
      <c r="L171" s="24"/>
      <c r="M171" s="24" t="s">
        <v>46</v>
      </c>
      <c r="N171" s="24"/>
      <c r="O171" s="24"/>
      <c r="P171" s="24"/>
      <c r="Q171" s="24"/>
      <c r="R171" s="24" t="s">
        <v>78</v>
      </c>
      <c r="S171" s="24">
        <v>0.74</v>
      </c>
      <c r="T171" s="23">
        <v>0.14242077255807273</v>
      </c>
    </row>
    <row r="172" spans="1:20" x14ac:dyDescent="0.25">
      <c r="A172" s="24" t="s">
        <v>211</v>
      </c>
      <c r="B172" s="3">
        <v>0.98</v>
      </c>
      <c r="C172" s="4">
        <v>2.08</v>
      </c>
      <c r="D172" s="52">
        <v>3</v>
      </c>
      <c r="E172" s="52">
        <v>4</v>
      </c>
      <c r="F172" s="5">
        <v>5</v>
      </c>
      <c r="G172" s="176">
        <v>3</v>
      </c>
      <c r="H172" s="179">
        <v>5</v>
      </c>
      <c r="I172" s="24"/>
      <c r="J172" s="24"/>
      <c r="K172" s="24" t="s">
        <v>109</v>
      </c>
      <c r="L172" s="24"/>
      <c r="M172" s="24"/>
      <c r="N172" s="24"/>
      <c r="O172" s="24"/>
      <c r="P172" s="24"/>
      <c r="Q172" s="24"/>
      <c r="R172" s="24" t="s">
        <v>78</v>
      </c>
      <c r="S172" s="24">
        <v>0.98</v>
      </c>
      <c r="T172" s="23">
        <v>0.14228313534033801</v>
      </c>
    </row>
    <row r="173" spans="1:20" x14ac:dyDescent="0.25">
      <c r="A173" s="24" t="s">
        <v>212</v>
      </c>
      <c r="B173" s="3">
        <v>0.83</v>
      </c>
      <c r="C173" s="4">
        <v>1.95</v>
      </c>
      <c r="D173" s="52">
        <v>1</v>
      </c>
      <c r="E173" s="52">
        <v>4</v>
      </c>
      <c r="F173" s="5">
        <v>6</v>
      </c>
      <c r="G173" s="176">
        <v>3</v>
      </c>
      <c r="H173" s="179">
        <v>5</v>
      </c>
      <c r="I173" s="24"/>
      <c r="J173" s="24"/>
      <c r="K173" s="24"/>
      <c r="L173" s="24"/>
      <c r="M173" s="24"/>
      <c r="N173" s="24"/>
      <c r="O173" s="24" t="s">
        <v>46</v>
      </c>
      <c r="P173" s="24"/>
      <c r="Q173" s="24"/>
      <c r="R173" s="24" t="s">
        <v>78</v>
      </c>
      <c r="S173" s="24">
        <v>0.83</v>
      </c>
      <c r="T173" s="23">
        <v>0.14148853086028407</v>
      </c>
    </row>
    <row r="174" spans="1:20" x14ac:dyDescent="0.25">
      <c r="A174" s="24" t="s">
        <v>213</v>
      </c>
      <c r="B174" s="14">
        <v>0.78</v>
      </c>
      <c r="C174" s="4">
        <v>2.11</v>
      </c>
      <c r="D174" s="52">
        <v>1</v>
      </c>
      <c r="E174" s="52">
        <v>4</v>
      </c>
      <c r="F174" s="5">
        <v>6</v>
      </c>
      <c r="G174" s="176">
        <v>2</v>
      </c>
      <c r="H174" s="15"/>
      <c r="I174" s="24"/>
      <c r="J174" s="24"/>
      <c r="K174" s="24"/>
      <c r="L174" s="24"/>
      <c r="M174" s="24"/>
      <c r="N174" s="24"/>
      <c r="O174" s="24"/>
      <c r="P174" s="24"/>
      <c r="Q174" s="24"/>
      <c r="R174" s="24" t="s">
        <v>78</v>
      </c>
      <c r="S174" s="24">
        <v>0.78</v>
      </c>
      <c r="T174" s="23">
        <v>0.14112474731068483</v>
      </c>
    </row>
    <row r="175" spans="1:20" x14ac:dyDescent="0.25">
      <c r="A175" s="24" t="s">
        <v>214</v>
      </c>
      <c r="B175" s="3">
        <v>1</v>
      </c>
      <c r="C175" s="4">
        <v>1.94</v>
      </c>
      <c r="D175" s="52">
        <v>3</v>
      </c>
      <c r="E175" s="52">
        <v>4</v>
      </c>
      <c r="F175" s="5">
        <v>6</v>
      </c>
      <c r="G175" s="176">
        <v>1</v>
      </c>
      <c r="H175" s="179">
        <v>5</v>
      </c>
      <c r="I175" s="24"/>
      <c r="J175" s="24"/>
      <c r="K175" s="24"/>
      <c r="L175" s="24"/>
      <c r="M175" s="24"/>
      <c r="N175" s="24"/>
      <c r="O175" s="24"/>
      <c r="P175" s="24"/>
      <c r="Q175" s="24"/>
      <c r="R175" s="24" t="s">
        <v>78</v>
      </c>
      <c r="S175" s="24">
        <v>1</v>
      </c>
      <c r="T175" s="23">
        <v>0.13958682533220118</v>
      </c>
    </row>
    <row r="176" spans="1:20" x14ac:dyDescent="0.25">
      <c r="A176" s="24" t="s">
        <v>215</v>
      </c>
      <c r="B176" s="14">
        <v>0.73</v>
      </c>
      <c r="C176" s="4">
        <v>6.39</v>
      </c>
      <c r="D176" s="52">
        <v>1</v>
      </c>
      <c r="E176" s="52">
        <v>4</v>
      </c>
      <c r="F176" s="5">
        <v>4</v>
      </c>
      <c r="G176" s="176">
        <v>3</v>
      </c>
      <c r="H176" s="179">
        <v>4</v>
      </c>
      <c r="I176" s="24"/>
      <c r="J176" s="24"/>
      <c r="K176" s="24"/>
      <c r="L176" s="24"/>
      <c r="M176" s="24"/>
      <c r="N176" s="24" t="s">
        <v>26</v>
      </c>
      <c r="O176" s="24"/>
      <c r="P176" s="24"/>
      <c r="Q176" s="24"/>
      <c r="R176" s="24" t="s">
        <v>78</v>
      </c>
      <c r="S176" s="24">
        <v>0.73</v>
      </c>
      <c r="T176" s="23">
        <v>0.13902567758676793</v>
      </c>
    </row>
    <row r="177" spans="1:20" x14ac:dyDescent="0.25">
      <c r="A177" s="24" t="s">
        <v>216</v>
      </c>
      <c r="B177" s="3">
        <v>0.8</v>
      </c>
      <c r="C177" s="4">
        <v>2.08</v>
      </c>
      <c r="D177" s="52">
        <v>4</v>
      </c>
      <c r="E177" s="52">
        <v>4</v>
      </c>
      <c r="F177" s="5">
        <v>6</v>
      </c>
      <c r="G177" s="176">
        <v>2</v>
      </c>
      <c r="H177" s="179">
        <v>5</v>
      </c>
      <c r="I177" s="24" t="s">
        <v>46</v>
      </c>
      <c r="J177" s="24"/>
      <c r="K177" s="24" t="s">
        <v>92</v>
      </c>
      <c r="L177" s="24"/>
      <c r="M177" s="24"/>
      <c r="N177" s="24"/>
      <c r="O177" s="24"/>
      <c r="P177" s="24"/>
      <c r="Q177" s="24"/>
      <c r="R177" s="24" t="s">
        <v>78</v>
      </c>
      <c r="S177" s="24">
        <v>0.8</v>
      </c>
      <c r="T177" s="23">
        <v>0.13836630615569262</v>
      </c>
    </row>
    <row r="178" spans="1:20" x14ac:dyDescent="0.25">
      <c r="A178" s="24" t="s">
        <v>217</v>
      </c>
      <c r="B178" s="14">
        <v>0.77</v>
      </c>
      <c r="C178" s="4">
        <v>2.16</v>
      </c>
      <c r="D178" s="52">
        <v>4</v>
      </c>
      <c r="E178" s="52">
        <v>4</v>
      </c>
      <c r="F178" s="5">
        <v>6</v>
      </c>
      <c r="G178" s="176">
        <v>2</v>
      </c>
      <c r="H178" s="179">
        <v>3</v>
      </c>
      <c r="I178" s="24"/>
      <c r="J178" s="24"/>
      <c r="K178" s="24" t="s">
        <v>109</v>
      </c>
      <c r="L178" s="24"/>
      <c r="M178" s="24"/>
      <c r="N178" s="24"/>
      <c r="O178" s="24"/>
      <c r="P178" s="24"/>
      <c r="Q178" s="24"/>
      <c r="R178" s="24" t="s">
        <v>78</v>
      </c>
      <c r="S178" s="24">
        <v>0.77</v>
      </c>
      <c r="T178" s="23">
        <v>0.13833498481210244</v>
      </c>
    </row>
    <row r="179" spans="1:20" x14ac:dyDescent="0.25">
      <c r="A179" s="24" t="s">
        <v>218</v>
      </c>
      <c r="B179" s="3">
        <v>0.89</v>
      </c>
      <c r="C179" s="4">
        <v>2.0499999999999998</v>
      </c>
      <c r="D179" s="52">
        <v>3</v>
      </c>
      <c r="E179" s="52">
        <v>4</v>
      </c>
      <c r="F179" s="5">
        <v>6</v>
      </c>
      <c r="G179" s="176">
        <v>3</v>
      </c>
      <c r="H179" s="179">
        <v>5</v>
      </c>
      <c r="I179" s="24"/>
      <c r="J179" s="24"/>
      <c r="K179" s="24" t="s">
        <v>109</v>
      </c>
      <c r="L179" s="24"/>
      <c r="M179" s="24"/>
      <c r="N179" s="24"/>
      <c r="O179" s="24"/>
      <c r="P179" s="24"/>
      <c r="Q179" s="24"/>
      <c r="R179" s="24" t="s">
        <v>78</v>
      </c>
      <c r="S179" s="24">
        <v>0.89</v>
      </c>
      <c r="T179" s="23">
        <v>0.13749471114118514</v>
      </c>
    </row>
    <row r="180" spans="1:20" x14ac:dyDescent="0.25">
      <c r="A180" s="24" t="s">
        <v>219</v>
      </c>
      <c r="B180" s="3">
        <v>0.96</v>
      </c>
      <c r="C180" s="4">
        <v>2.02</v>
      </c>
      <c r="D180" s="52">
        <v>4</v>
      </c>
      <c r="E180" s="52">
        <v>3</v>
      </c>
      <c r="F180" s="5">
        <v>6</v>
      </c>
      <c r="G180" s="176">
        <v>1</v>
      </c>
      <c r="H180" s="179">
        <v>5</v>
      </c>
      <c r="I180" s="24"/>
      <c r="J180" s="24"/>
      <c r="K180" s="24"/>
      <c r="L180" s="24"/>
      <c r="M180" s="24"/>
      <c r="N180" s="24"/>
      <c r="O180" s="24"/>
      <c r="P180" s="24"/>
      <c r="Q180" s="24"/>
      <c r="R180" s="24" t="s">
        <v>78</v>
      </c>
      <c r="S180" s="24">
        <v>0.96</v>
      </c>
      <c r="T180" s="23">
        <v>0.1374727218338104</v>
      </c>
    </row>
    <row r="181" spans="1:20" x14ac:dyDescent="0.25">
      <c r="A181" s="24" t="s">
        <v>220</v>
      </c>
      <c r="B181" s="14">
        <v>0.72</v>
      </c>
      <c r="C181" s="4">
        <v>5.94</v>
      </c>
      <c r="D181" s="52">
        <v>4</v>
      </c>
      <c r="E181" s="52">
        <v>4</v>
      </c>
      <c r="F181" s="5">
        <v>6</v>
      </c>
      <c r="G181" s="176">
        <v>3</v>
      </c>
      <c r="H181" s="179">
        <v>5</v>
      </c>
      <c r="I181" s="24" t="s">
        <v>51</v>
      </c>
      <c r="J181" s="24"/>
      <c r="K181" s="24" t="s">
        <v>109</v>
      </c>
      <c r="L181" s="24"/>
      <c r="M181" s="24"/>
      <c r="N181" s="24"/>
      <c r="O181" s="24"/>
      <c r="P181" s="24"/>
      <c r="Q181" s="24"/>
      <c r="R181" s="24" t="s">
        <v>78</v>
      </c>
      <c r="S181" s="24">
        <v>0.72</v>
      </c>
      <c r="T181" s="23">
        <v>0.13569406936196676</v>
      </c>
    </row>
    <row r="182" spans="1:20" x14ac:dyDescent="0.25">
      <c r="A182" s="24" t="s">
        <v>221</v>
      </c>
      <c r="B182" s="3">
        <v>0.96</v>
      </c>
      <c r="C182" s="4">
        <v>1.95</v>
      </c>
      <c r="D182" s="52">
        <v>3</v>
      </c>
      <c r="E182" s="52">
        <v>4</v>
      </c>
      <c r="F182" s="5">
        <v>7</v>
      </c>
      <c r="G182" s="176">
        <v>3</v>
      </c>
      <c r="H182" s="179">
        <v>5</v>
      </c>
      <c r="I182" s="24"/>
      <c r="J182" s="24"/>
      <c r="K182" s="24"/>
      <c r="L182" s="24"/>
      <c r="M182" s="24"/>
      <c r="N182" s="24"/>
      <c r="O182" s="24"/>
      <c r="P182" s="24"/>
      <c r="Q182" s="24"/>
      <c r="R182" s="24" t="s">
        <v>78</v>
      </c>
      <c r="S182" s="24">
        <v>0.96</v>
      </c>
      <c r="T182" s="23">
        <v>0.13396233306419408</v>
      </c>
    </row>
    <row r="183" spans="1:20" x14ac:dyDescent="0.25">
      <c r="A183" s="24" t="s">
        <v>222</v>
      </c>
      <c r="B183" s="19">
        <v>0.57999999999999996</v>
      </c>
      <c r="C183" s="4">
        <v>2.0699999999999998</v>
      </c>
      <c r="D183" s="52">
        <v>5</v>
      </c>
      <c r="E183" s="52">
        <v>4</v>
      </c>
      <c r="F183" s="5">
        <v>5</v>
      </c>
      <c r="G183" s="176">
        <v>3</v>
      </c>
      <c r="H183" s="179">
        <v>5</v>
      </c>
      <c r="I183" s="24"/>
      <c r="J183" s="24"/>
      <c r="K183" s="24"/>
      <c r="L183" s="24"/>
      <c r="M183" s="24"/>
      <c r="N183" s="24"/>
      <c r="O183" s="24"/>
      <c r="P183" s="24"/>
      <c r="Q183" s="24"/>
      <c r="R183" s="24" t="s">
        <v>78</v>
      </c>
      <c r="S183" s="24">
        <v>0.57999999999999996</v>
      </c>
      <c r="T183" s="23">
        <v>0.13231037281532837</v>
      </c>
    </row>
    <row r="184" spans="1:20" x14ac:dyDescent="0.25">
      <c r="A184" s="24" t="s">
        <v>223</v>
      </c>
      <c r="B184" s="3">
        <v>0.81</v>
      </c>
      <c r="C184" s="4">
        <v>4.09</v>
      </c>
      <c r="D184" s="52">
        <v>5</v>
      </c>
      <c r="E184" s="52">
        <v>4</v>
      </c>
      <c r="F184" s="5">
        <v>5</v>
      </c>
      <c r="G184" s="176">
        <v>3</v>
      </c>
      <c r="H184" s="179">
        <v>5</v>
      </c>
      <c r="I184" s="24"/>
      <c r="J184" s="24"/>
      <c r="K184" s="24" t="s">
        <v>109</v>
      </c>
      <c r="L184" s="24"/>
      <c r="M184" s="24"/>
      <c r="N184" s="24"/>
      <c r="O184" s="24"/>
      <c r="P184" s="24"/>
      <c r="Q184" s="24"/>
      <c r="R184" s="24" t="s">
        <v>78</v>
      </c>
      <c r="S184" s="24">
        <v>0.81</v>
      </c>
      <c r="T184" s="23">
        <v>0.13016425747314109</v>
      </c>
    </row>
    <row r="185" spans="1:20" x14ac:dyDescent="0.25">
      <c r="A185" s="24" t="s">
        <v>224</v>
      </c>
      <c r="B185" s="3" t="s">
        <v>71</v>
      </c>
      <c r="C185" s="4" t="s">
        <v>71</v>
      </c>
      <c r="D185" s="52">
        <v>1</v>
      </c>
      <c r="E185" s="52">
        <v>4</v>
      </c>
      <c r="F185" s="5">
        <v>4</v>
      </c>
      <c r="G185" s="176">
        <v>1</v>
      </c>
      <c r="H185" s="179">
        <v>4</v>
      </c>
      <c r="I185" s="24"/>
      <c r="J185" s="24"/>
      <c r="K185" s="24"/>
      <c r="L185" s="24" t="s">
        <v>46</v>
      </c>
      <c r="M185" s="24"/>
      <c r="N185" s="24"/>
      <c r="O185" s="24"/>
      <c r="P185" s="24"/>
      <c r="Q185" s="24"/>
      <c r="R185" s="24" t="s">
        <v>78</v>
      </c>
      <c r="S185" s="24" t="s">
        <v>71</v>
      </c>
      <c r="T185" s="23">
        <v>0.12933599184728817</v>
      </c>
    </row>
    <row r="186" spans="1:20" x14ac:dyDescent="0.25">
      <c r="A186" s="24" t="s">
        <v>225</v>
      </c>
      <c r="B186" s="14">
        <v>0.71</v>
      </c>
      <c r="C186" s="4">
        <v>2.0499999999999998</v>
      </c>
      <c r="D186" s="52">
        <v>5</v>
      </c>
      <c r="E186" s="52">
        <v>4</v>
      </c>
      <c r="F186" s="5">
        <v>5</v>
      </c>
      <c r="G186" s="176">
        <v>3</v>
      </c>
      <c r="H186" s="15"/>
      <c r="I186" s="24"/>
      <c r="J186" s="24"/>
      <c r="K186" s="24" t="s">
        <v>109</v>
      </c>
      <c r="L186" s="24"/>
      <c r="M186" s="24"/>
      <c r="N186" s="24"/>
      <c r="O186" s="24"/>
      <c r="P186" s="24"/>
      <c r="Q186" s="24"/>
      <c r="R186" s="24" t="s">
        <v>78</v>
      </c>
      <c r="S186" s="24">
        <v>0.71</v>
      </c>
      <c r="T186" s="23">
        <v>0.12724977700666379</v>
      </c>
    </row>
    <row r="187" spans="1:20" x14ac:dyDescent="0.25">
      <c r="A187" s="24" t="s">
        <v>226</v>
      </c>
      <c r="B187" s="3">
        <v>1</v>
      </c>
      <c r="C187" s="4">
        <v>2.42</v>
      </c>
      <c r="D187" s="52">
        <v>4</v>
      </c>
      <c r="E187" s="52">
        <v>4</v>
      </c>
      <c r="F187" s="5">
        <v>6</v>
      </c>
      <c r="G187" s="176">
        <v>2</v>
      </c>
      <c r="H187" s="179">
        <v>5</v>
      </c>
      <c r="I187" s="24"/>
      <c r="J187" s="24"/>
      <c r="K187" s="24"/>
      <c r="L187" s="24"/>
      <c r="M187" s="24"/>
      <c r="N187" s="24" t="s">
        <v>64</v>
      </c>
      <c r="O187" s="24"/>
      <c r="P187" s="24"/>
      <c r="Q187" s="24"/>
      <c r="R187" s="24" t="s">
        <v>78</v>
      </c>
      <c r="S187" s="24">
        <v>1</v>
      </c>
      <c r="T187" s="23">
        <v>0.12499711727997984</v>
      </c>
    </row>
    <row r="188" spans="1:20" x14ac:dyDescent="0.25">
      <c r="A188" s="24" t="s">
        <v>227</v>
      </c>
      <c r="B188" s="3">
        <v>1</v>
      </c>
      <c r="C188" s="4">
        <v>1.98</v>
      </c>
      <c r="D188" s="52">
        <v>3</v>
      </c>
      <c r="E188" s="52">
        <v>4</v>
      </c>
      <c r="F188" s="5">
        <v>7</v>
      </c>
      <c r="G188" s="176">
        <v>6</v>
      </c>
      <c r="H188" s="179">
        <v>5</v>
      </c>
      <c r="I188" s="24"/>
      <c r="J188" s="24"/>
      <c r="K188" s="24"/>
      <c r="L188" s="24"/>
      <c r="M188" s="24"/>
      <c r="N188" s="24"/>
      <c r="O188" s="24"/>
      <c r="P188" s="24"/>
      <c r="Q188" s="24"/>
      <c r="R188" s="24" t="s">
        <v>78</v>
      </c>
      <c r="S188" s="24">
        <v>1</v>
      </c>
      <c r="T188" s="23">
        <v>0.12280039696516573</v>
      </c>
    </row>
    <row r="189" spans="1:20" x14ac:dyDescent="0.25">
      <c r="A189" s="24" t="s">
        <v>228</v>
      </c>
      <c r="B189" s="3">
        <v>0.83</v>
      </c>
      <c r="C189" s="4">
        <v>2.0699999999999998</v>
      </c>
      <c r="D189" s="52">
        <v>4</v>
      </c>
      <c r="E189" s="52">
        <v>4</v>
      </c>
      <c r="F189" s="5">
        <v>6</v>
      </c>
      <c r="G189" s="176">
        <v>1</v>
      </c>
      <c r="H189" s="179">
        <v>3</v>
      </c>
      <c r="I189" s="24"/>
      <c r="J189" s="24"/>
      <c r="K189" s="24"/>
      <c r="L189" s="24"/>
      <c r="M189" s="24"/>
      <c r="N189" s="24"/>
      <c r="O189" s="24"/>
      <c r="P189" s="24"/>
      <c r="Q189" s="24"/>
      <c r="R189" s="24" t="s">
        <v>78</v>
      </c>
      <c r="S189" s="24">
        <v>0.83</v>
      </c>
      <c r="T189" s="23">
        <v>0.12047488184166905</v>
      </c>
    </row>
    <row r="190" spans="1:20" x14ac:dyDescent="0.25">
      <c r="A190" s="24" t="s">
        <v>229</v>
      </c>
      <c r="B190" s="3">
        <v>0.86</v>
      </c>
      <c r="C190" s="4">
        <v>2.2000000000000002</v>
      </c>
      <c r="D190" s="52">
        <v>5</v>
      </c>
      <c r="E190" s="52">
        <v>4</v>
      </c>
      <c r="F190" s="5">
        <v>6</v>
      </c>
      <c r="G190" s="176">
        <v>3</v>
      </c>
      <c r="H190" s="179">
        <v>3</v>
      </c>
      <c r="I190" s="24"/>
      <c r="J190" s="24"/>
      <c r="K190" s="24" t="s">
        <v>109</v>
      </c>
      <c r="L190" s="24"/>
      <c r="M190" s="24"/>
      <c r="N190" s="24"/>
      <c r="O190" s="24"/>
      <c r="P190" s="24"/>
      <c r="Q190" s="24"/>
      <c r="R190" s="24" t="s">
        <v>78</v>
      </c>
      <c r="S190" s="24">
        <v>0.86</v>
      </c>
      <c r="T190" s="23">
        <v>0.1190262600632017</v>
      </c>
    </row>
    <row r="191" spans="1:20" x14ac:dyDescent="0.25">
      <c r="A191" s="24" t="s">
        <v>230</v>
      </c>
      <c r="B191" s="19">
        <v>0.43</v>
      </c>
      <c r="C191" s="4">
        <v>7.74</v>
      </c>
      <c r="D191" s="52">
        <v>5</v>
      </c>
      <c r="E191" s="52">
        <v>4</v>
      </c>
      <c r="F191" s="5">
        <v>7</v>
      </c>
      <c r="G191" s="176">
        <v>3</v>
      </c>
      <c r="H191" s="179">
        <v>4</v>
      </c>
      <c r="I191" s="24"/>
      <c r="J191" s="24"/>
      <c r="K191" s="24" t="s">
        <v>109</v>
      </c>
      <c r="L191" s="24"/>
      <c r="M191" s="24"/>
      <c r="N191" s="24"/>
      <c r="O191" s="24"/>
      <c r="P191" s="24"/>
      <c r="Q191" s="24"/>
      <c r="R191" s="24" t="s">
        <v>78</v>
      </c>
      <c r="S191" s="24">
        <v>0.43</v>
      </c>
      <c r="T191" s="23">
        <v>0.11755274698662756</v>
      </c>
    </row>
    <row r="192" spans="1:20" x14ac:dyDescent="0.25">
      <c r="A192" s="24" t="s">
        <v>231</v>
      </c>
      <c r="B192" s="14">
        <v>0.79</v>
      </c>
      <c r="C192" s="4">
        <v>2.08</v>
      </c>
      <c r="D192" s="52">
        <v>5</v>
      </c>
      <c r="E192" s="52">
        <v>4</v>
      </c>
      <c r="F192" s="5">
        <v>5</v>
      </c>
      <c r="G192" s="176">
        <v>3</v>
      </c>
      <c r="H192" s="179">
        <v>5</v>
      </c>
      <c r="I192" s="24"/>
      <c r="J192" s="24"/>
      <c r="K192" s="24"/>
      <c r="L192" s="24"/>
      <c r="M192" s="24"/>
      <c r="N192" s="24"/>
      <c r="O192" s="24"/>
      <c r="P192" s="24"/>
      <c r="Q192" s="24"/>
      <c r="R192" s="24" t="s">
        <v>78</v>
      </c>
      <c r="S192" s="24">
        <v>0.79</v>
      </c>
      <c r="T192" s="23">
        <v>0.11734630401885088</v>
      </c>
    </row>
    <row r="193" spans="1:20" x14ac:dyDescent="0.25">
      <c r="A193" s="24" t="s">
        <v>232</v>
      </c>
      <c r="B193" s="3">
        <v>1</v>
      </c>
      <c r="C193" s="4">
        <v>2.04</v>
      </c>
      <c r="D193" s="52">
        <v>5</v>
      </c>
      <c r="E193" s="52">
        <v>4</v>
      </c>
      <c r="F193" s="5">
        <v>6</v>
      </c>
      <c r="G193" s="176">
        <v>6</v>
      </c>
      <c r="H193" s="15"/>
      <c r="I193" s="24"/>
      <c r="J193" s="24"/>
      <c r="K193" s="24" t="s">
        <v>92</v>
      </c>
      <c r="L193" s="24"/>
      <c r="M193" s="24"/>
      <c r="N193" s="24"/>
      <c r="O193" s="24"/>
      <c r="P193" s="24"/>
      <c r="Q193" s="24"/>
      <c r="R193" s="24" t="s">
        <v>78</v>
      </c>
      <c r="S193" s="24">
        <v>1</v>
      </c>
      <c r="T193" s="23">
        <v>0.11716772318175459</v>
      </c>
    </row>
    <row r="194" spans="1:20" x14ac:dyDescent="0.25">
      <c r="A194" s="24" t="s">
        <v>233</v>
      </c>
      <c r="B194" s="3">
        <v>0.92</v>
      </c>
      <c r="C194" s="4">
        <v>1.8</v>
      </c>
      <c r="D194" s="52">
        <v>1</v>
      </c>
      <c r="E194" s="52">
        <v>4</v>
      </c>
      <c r="F194" s="5">
        <v>7</v>
      </c>
      <c r="G194" s="176">
        <v>2</v>
      </c>
      <c r="H194" s="179">
        <v>5</v>
      </c>
      <c r="I194" s="24"/>
      <c r="J194" s="24"/>
      <c r="K194" s="24"/>
      <c r="L194" s="24"/>
      <c r="M194" s="24"/>
      <c r="N194" s="24"/>
      <c r="O194" s="24"/>
      <c r="P194" s="24"/>
      <c r="Q194" s="24"/>
      <c r="R194" s="24" t="s">
        <v>78</v>
      </c>
      <c r="S194" s="24">
        <v>0.92</v>
      </c>
      <c r="T194" s="23">
        <v>0.11668429502514419</v>
      </c>
    </row>
    <row r="195" spans="1:20" x14ac:dyDescent="0.25">
      <c r="A195" s="24" t="s">
        <v>234</v>
      </c>
      <c r="B195" s="3">
        <v>0.93</v>
      </c>
      <c r="C195" s="4">
        <v>1.99</v>
      </c>
      <c r="D195" s="52">
        <v>4</v>
      </c>
      <c r="E195" s="52">
        <v>4</v>
      </c>
      <c r="F195" s="5">
        <v>4</v>
      </c>
      <c r="G195" s="176">
        <v>1</v>
      </c>
      <c r="H195" s="15"/>
      <c r="I195" s="24"/>
      <c r="J195" s="24"/>
      <c r="K195" s="24"/>
      <c r="L195" s="24"/>
      <c r="M195" s="24"/>
      <c r="N195" s="24"/>
      <c r="O195" s="24"/>
      <c r="P195" s="24"/>
      <c r="Q195" s="24"/>
      <c r="R195" s="24" t="s">
        <v>78</v>
      </c>
      <c r="S195" s="24">
        <v>0.93</v>
      </c>
      <c r="T195" s="23">
        <v>0.11562644285199652</v>
      </c>
    </row>
    <row r="196" spans="1:20" x14ac:dyDescent="0.25">
      <c r="A196" s="24" t="s">
        <v>235</v>
      </c>
      <c r="B196" s="14">
        <v>0.65</v>
      </c>
      <c r="C196" s="4">
        <v>2.08</v>
      </c>
      <c r="D196" s="52">
        <v>3</v>
      </c>
      <c r="E196" s="52">
        <v>4</v>
      </c>
      <c r="F196" s="5">
        <v>5</v>
      </c>
      <c r="G196" s="176">
        <v>3</v>
      </c>
      <c r="H196" s="179">
        <v>5</v>
      </c>
      <c r="I196" s="24"/>
      <c r="J196" s="24"/>
      <c r="K196" s="24" t="s">
        <v>109</v>
      </c>
      <c r="L196" s="24"/>
      <c r="M196" s="24"/>
      <c r="N196" s="24"/>
      <c r="O196" s="24"/>
      <c r="P196" s="24"/>
      <c r="Q196" s="24"/>
      <c r="R196" s="24" t="s">
        <v>78</v>
      </c>
      <c r="S196" s="24">
        <v>0.65</v>
      </c>
      <c r="T196" s="23">
        <v>0.11525433653922902</v>
      </c>
    </row>
    <row r="197" spans="1:20" x14ac:dyDescent="0.25">
      <c r="A197" s="24" t="s">
        <v>236</v>
      </c>
      <c r="B197" s="14">
        <v>0.7</v>
      </c>
      <c r="C197" s="4">
        <v>2.31</v>
      </c>
      <c r="D197" s="52">
        <v>5</v>
      </c>
      <c r="E197" s="52">
        <v>4</v>
      </c>
      <c r="F197" s="5">
        <v>5</v>
      </c>
      <c r="G197" s="176">
        <v>3</v>
      </c>
      <c r="H197" s="179">
        <v>4</v>
      </c>
      <c r="I197" s="24"/>
      <c r="J197" s="24"/>
      <c r="K197" s="24" t="s">
        <v>109</v>
      </c>
      <c r="L197" s="24"/>
      <c r="M197" s="24"/>
      <c r="N197" s="24" t="s">
        <v>26</v>
      </c>
      <c r="O197" s="24"/>
      <c r="P197" s="24"/>
      <c r="Q197" s="24"/>
      <c r="R197" s="24" t="s">
        <v>78</v>
      </c>
      <c r="S197" s="24">
        <v>0.7</v>
      </c>
      <c r="T197" s="23">
        <v>0.11514183506472719</v>
      </c>
    </row>
    <row r="198" spans="1:20" x14ac:dyDescent="0.25">
      <c r="A198" s="24" t="s">
        <v>237</v>
      </c>
      <c r="B198" s="18">
        <v>0.22</v>
      </c>
      <c r="C198" s="4">
        <v>4.72</v>
      </c>
      <c r="D198" s="52">
        <v>5</v>
      </c>
      <c r="E198" s="52">
        <v>4</v>
      </c>
      <c r="F198" s="5">
        <v>6</v>
      </c>
      <c r="G198" s="176">
        <v>6</v>
      </c>
      <c r="H198" s="179">
        <v>5</v>
      </c>
      <c r="I198" s="24"/>
      <c r="J198" s="24"/>
      <c r="K198" s="24"/>
      <c r="L198" s="24"/>
      <c r="M198" s="24"/>
      <c r="N198" s="24" t="s">
        <v>46</v>
      </c>
      <c r="O198" s="24"/>
      <c r="P198" s="24"/>
      <c r="Q198" s="24"/>
      <c r="R198" s="24" t="s">
        <v>78</v>
      </c>
      <c r="S198" s="24">
        <v>0.22</v>
      </c>
      <c r="T198" s="23">
        <v>0.11499619575936625</v>
      </c>
    </row>
    <row r="199" spans="1:20" x14ac:dyDescent="0.25">
      <c r="A199" s="24" t="s">
        <v>238</v>
      </c>
      <c r="B199" s="3">
        <v>0.8</v>
      </c>
      <c r="C199" s="4">
        <v>2.57</v>
      </c>
      <c r="D199" s="52">
        <v>5</v>
      </c>
      <c r="E199" s="52">
        <v>4</v>
      </c>
      <c r="F199" s="5">
        <v>4</v>
      </c>
      <c r="G199" s="176">
        <v>3</v>
      </c>
      <c r="H199" s="179">
        <v>3</v>
      </c>
      <c r="I199" s="24" t="s">
        <v>33</v>
      </c>
      <c r="J199" s="24"/>
      <c r="K199" s="24"/>
      <c r="L199" s="24"/>
      <c r="M199" s="24"/>
      <c r="N199" s="24"/>
      <c r="O199" s="24"/>
      <c r="P199" s="24"/>
      <c r="Q199" s="24"/>
      <c r="R199" s="24" t="s">
        <v>78</v>
      </c>
      <c r="S199" s="24">
        <v>0.8</v>
      </c>
      <c r="T199" s="23">
        <v>0.11367930508102808</v>
      </c>
    </row>
    <row r="200" spans="1:20" x14ac:dyDescent="0.25">
      <c r="A200" s="24" t="s">
        <v>239</v>
      </c>
      <c r="B200" s="14">
        <v>0.76</v>
      </c>
      <c r="C200" s="4">
        <v>1.97</v>
      </c>
      <c r="D200" s="52">
        <v>3</v>
      </c>
      <c r="E200" s="52">
        <v>4</v>
      </c>
      <c r="F200" s="5">
        <v>4</v>
      </c>
      <c r="G200" s="176">
        <v>2</v>
      </c>
      <c r="H200" s="179">
        <v>5</v>
      </c>
      <c r="I200" s="24"/>
      <c r="J200" s="24" t="s">
        <v>92</v>
      </c>
      <c r="K200" s="24" t="s">
        <v>92</v>
      </c>
      <c r="L200" s="24"/>
      <c r="M200" s="24"/>
      <c r="N200" s="24"/>
      <c r="O200" s="24"/>
      <c r="P200" s="24"/>
      <c r="Q200" s="24"/>
      <c r="R200" s="24" t="s">
        <v>78</v>
      </c>
      <c r="S200" s="24">
        <v>0.76</v>
      </c>
      <c r="T200" s="23">
        <v>0.11323585117075759</v>
      </c>
    </row>
    <row r="201" spans="1:20" x14ac:dyDescent="0.25">
      <c r="A201" s="24" t="s">
        <v>240</v>
      </c>
      <c r="B201" s="3">
        <v>0.87</v>
      </c>
      <c r="C201" s="4">
        <v>2.0099999999999998</v>
      </c>
      <c r="D201" s="52">
        <v>4</v>
      </c>
      <c r="E201" s="52">
        <v>4</v>
      </c>
      <c r="F201" s="5">
        <v>6</v>
      </c>
      <c r="G201" s="176">
        <v>1</v>
      </c>
      <c r="H201" s="179">
        <v>4</v>
      </c>
      <c r="I201" s="24"/>
      <c r="J201" s="24"/>
      <c r="K201" s="24"/>
      <c r="L201" s="24"/>
      <c r="M201" s="24"/>
      <c r="N201" s="24"/>
      <c r="O201" s="24"/>
      <c r="P201" s="24"/>
      <c r="Q201" s="24"/>
      <c r="R201" s="24" t="s">
        <v>78</v>
      </c>
      <c r="S201" s="24">
        <v>0.87</v>
      </c>
      <c r="T201" s="23">
        <v>0.11155214287469641</v>
      </c>
    </row>
    <row r="202" spans="1:20" x14ac:dyDescent="0.25">
      <c r="A202" s="24" t="s">
        <v>241</v>
      </c>
      <c r="B202" s="3">
        <v>0.82</v>
      </c>
      <c r="C202" s="4">
        <v>2.0299999999999998</v>
      </c>
      <c r="D202" s="52">
        <v>3</v>
      </c>
      <c r="E202" s="52">
        <v>4</v>
      </c>
      <c r="F202" s="5">
        <v>6</v>
      </c>
      <c r="G202" s="176">
        <v>2</v>
      </c>
      <c r="H202" s="179">
        <v>5</v>
      </c>
      <c r="I202" s="24" t="s">
        <v>46</v>
      </c>
      <c r="J202" s="24"/>
      <c r="K202" s="24"/>
      <c r="L202" s="24"/>
      <c r="M202" s="24"/>
      <c r="N202" s="24"/>
      <c r="O202" s="24"/>
      <c r="P202" s="24"/>
      <c r="Q202" s="24"/>
      <c r="R202" s="24" t="s">
        <v>78</v>
      </c>
      <c r="S202" s="24">
        <v>0.82</v>
      </c>
      <c r="T202" s="23">
        <v>0.11145832645147175</v>
      </c>
    </row>
    <row r="203" spans="1:20" x14ac:dyDescent="0.25">
      <c r="A203" s="24" t="s">
        <v>242</v>
      </c>
      <c r="B203" s="3">
        <v>0.82</v>
      </c>
      <c r="C203" s="4">
        <v>4.22</v>
      </c>
      <c r="D203" s="52">
        <v>4</v>
      </c>
      <c r="E203" s="52">
        <v>4</v>
      </c>
      <c r="F203" s="5">
        <v>6</v>
      </c>
      <c r="G203" s="176">
        <v>3</v>
      </c>
      <c r="H203" s="179">
        <v>5</v>
      </c>
      <c r="I203" s="24"/>
      <c r="J203" s="24"/>
      <c r="K203" s="24" t="s">
        <v>109</v>
      </c>
      <c r="L203" s="24"/>
      <c r="M203" s="24"/>
      <c r="N203" s="24"/>
      <c r="O203" s="24"/>
      <c r="P203" s="24"/>
      <c r="Q203" s="24"/>
      <c r="R203" s="24" t="s">
        <v>78</v>
      </c>
      <c r="S203" s="24">
        <v>0.82</v>
      </c>
      <c r="T203" s="23">
        <v>0.10527989485458714</v>
      </c>
    </row>
    <row r="204" spans="1:20" x14ac:dyDescent="0.25">
      <c r="A204" s="24" t="s">
        <v>243</v>
      </c>
      <c r="B204" s="3">
        <v>0.84</v>
      </c>
      <c r="C204" s="4">
        <v>2.09</v>
      </c>
      <c r="D204" s="52">
        <v>5</v>
      </c>
      <c r="E204" s="52">
        <v>4</v>
      </c>
      <c r="F204" s="5">
        <v>6</v>
      </c>
      <c r="G204" s="176">
        <v>6</v>
      </c>
      <c r="H204" s="179">
        <v>5</v>
      </c>
      <c r="I204" s="24"/>
      <c r="J204" s="24"/>
      <c r="K204" s="24"/>
      <c r="L204" s="24"/>
      <c r="M204" s="24"/>
      <c r="N204" s="24"/>
      <c r="O204" s="24"/>
      <c r="P204" s="24"/>
      <c r="Q204" s="24"/>
      <c r="R204" s="24" t="s">
        <v>78</v>
      </c>
      <c r="S204" s="24">
        <v>0.84</v>
      </c>
      <c r="T204" s="23">
        <v>0.10427918832085803</v>
      </c>
    </row>
    <row r="205" spans="1:20" x14ac:dyDescent="0.25">
      <c r="A205" s="24" t="s">
        <v>244</v>
      </c>
      <c r="B205" s="3">
        <v>1</v>
      </c>
      <c r="C205" s="4">
        <v>2.15</v>
      </c>
      <c r="D205" s="52">
        <v>5</v>
      </c>
      <c r="E205" s="52">
        <v>4</v>
      </c>
      <c r="F205" s="5">
        <v>6</v>
      </c>
      <c r="G205" s="176">
        <v>3</v>
      </c>
      <c r="H205" s="179">
        <v>5</v>
      </c>
      <c r="I205" s="24"/>
      <c r="J205" s="24"/>
      <c r="K205" s="24" t="s">
        <v>109</v>
      </c>
      <c r="L205" s="24"/>
      <c r="M205" s="24"/>
      <c r="N205" s="24"/>
      <c r="O205" s="24"/>
      <c r="P205" s="24"/>
      <c r="Q205" s="24"/>
      <c r="R205" s="24" t="s">
        <v>78</v>
      </c>
      <c r="S205" s="24">
        <v>1</v>
      </c>
      <c r="T205" s="23">
        <v>0.10344162200368902</v>
      </c>
    </row>
    <row r="206" spans="1:20" x14ac:dyDescent="0.25">
      <c r="A206" s="24" t="s">
        <v>245</v>
      </c>
      <c r="B206" s="3">
        <v>0.8</v>
      </c>
      <c r="C206" s="4">
        <v>3.72</v>
      </c>
      <c r="D206" s="52">
        <v>4</v>
      </c>
      <c r="E206" s="52">
        <v>3</v>
      </c>
      <c r="F206" s="5">
        <v>6</v>
      </c>
      <c r="G206" s="176">
        <v>3</v>
      </c>
      <c r="H206" s="179">
        <v>5</v>
      </c>
      <c r="I206" s="24"/>
      <c r="J206" s="24"/>
      <c r="K206" s="24" t="s">
        <v>109</v>
      </c>
      <c r="L206" s="24"/>
      <c r="M206" s="24"/>
      <c r="N206" s="24"/>
      <c r="O206" s="24"/>
      <c r="P206" s="24"/>
      <c r="Q206" s="24"/>
      <c r="R206" s="24" t="s">
        <v>78</v>
      </c>
      <c r="S206" s="24">
        <v>0.8</v>
      </c>
      <c r="T206" s="23">
        <v>0.10341808682394073</v>
      </c>
    </row>
    <row r="207" spans="1:20" x14ac:dyDescent="0.25">
      <c r="A207" s="24" t="s">
        <v>246</v>
      </c>
      <c r="B207" s="3">
        <v>0.86</v>
      </c>
      <c r="C207" s="4">
        <v>2.09</v>
      </c>
      <c r="D207" s="52">
        <v>3</v>
      </c>
      <c r="E207" s="52">
        <v>3</v>
      </c>
      <c r="F207" s="5">
        <v>4</v>
      </c>
      <c r="G207" s="176">
        <v>3</v>
      </c>
      <c r="H207" s="179">
        <v>5</v>
      </c>
      <c r="I207" s="24"/>
      <c r="J207" s="24"/>
      <c r="K207" s="24"/>
      <c r="L207" s="24"/>
      <c r="M207" s="24"/>
      <c r="N207" s="24" t="s">
        <v>33</v>
      </c>
      <c r="O207" s="24"/>
      <c r="P207" s="24"/>
      <c r="Q207" s="24"/>
      <c r="R207" s="24" t="s">
        <v>78</v>
      </c>
      <c r="S207" s="24">
        <v>0.86</v>
      </c>
      <c r="T207" s="23">
        <v>0.10160659640580519</v>
      </c>
    </row>
    <row r="208" spans="1:20" x14ac:dyDescent="0.25">
      <c r="A208" s="24" t="s">
        <v>247</v>
      </c>
      <c r="B208" s="3">
        <v>0.92</v>
      </c>
      <c r="C208" s="4">
        <v>2.09</v>
      </c>
      <c r="D208" s="52">
        <v>4</v>
      </c>
      <c r="E208" s="52">
        <v>4</v>
      </c>
      <c r="F208" s="5">
        <v>6</v>
      </c>
      <c r="G208" s="176">
        <v>1</v>
      </c>
      <c r="H208" s="15"/>
      <c r="I208" s="24"/>
      <c r="J208" s="24"/>
      <c r="K208" s="24" t="s">
        <v>109</v>
      </c>
      <c r="L208" s="24"/>
      <c r="M208" s="24" t="s">
        <v>46</v>
      </c>
      <c r="N208" s="24"/>
      <c r="O208" s="24"/>
      <c r="P208" s="24"/>
      <c r="Q208" s="24"/>
      <c r="R208" s="24" t="s">
        <v>78</v>
      </c>
      <c r="S208" s="24">
        <v>0.92</v>
      </c>
      <c r="T208" s="23">
        <v>0.10150460599211332</v>
      </c>
    </row>
    <row r="209" spans="1:20" x14ac:dyDescent="0.25">
      <c r="A209" s="24" t="s">
        <v>248</v>
      </c>
      <c r="B209" s="3">
        <v>0.95</v>
      </c>
      <c r="C209" s="4">
        <v>1.98</v>
      </c>
      <c r="D209" s="52">
        <v>4</v>
      </c>
      <c r="E209" s="52">
        <v>4</v>
      </c>
      <c r="F209" s="5">
        <v>6</v>
      </c>
      <c r="G209" s="176">
        <v>1</v>
      </c>
      <c r="H209" s="179">
        <v>5</v>
      </c>
      <c r="I209" s="24" t="s">
        <v>46</v>
      </c>
      <c r="J209" s="24"/>
      <c r="K209" s="24"/>
      <c r="L209" s="24"/>
      <c r="M209" s="24"/>
      <c r="N209" s="24"/>
      <c r="O209" s="24" t="s">
        <v>46</v>
      </c>
      <c r="P209" s="24"/>
      <c r="Q209" s="24"/>
      <c r="R209" s="24" t="s">
        <v>78</v>
      </c>
      <c r="S209" s="24">
        <v>0.95</v>
      </c>
      <c r="T209" s="23">
        <v>0.10118138495122078</v>
      </c>
    </row>
    <row r="210" spans="1:20" x14ac:dyDescent="0.25">
      <c r="A210" s="24" t="s">
        <v>249</v>
      </c>
      <c r="B210" s="3">
        <v>0.86</v>
      </c>
      <c r="C210" s="4">
        <v>2.34</v>
      </c>
      <c r="D210" s="52">
        <v>1</v>
      </c>
      <c r="E210" s="52">
        <v>4</v>
      </c>
      <c r="F210" s="5">
        <v>5</v>
      </c>
      <c r="G210" s="176">
        <v>1</v>
      </c>
      <c r="H210" s="15"/>
      <c r="I210" s="24" t="s">
        <v>46</v>
      </c>
      <c r="J210" s="24"/>
      <c r="K210" s="24"/>
      <c r="L210" s="24"/>
      <c r="M210" s="24"/>
      <c r="N210" s="24"/>
      <c r="O210" s="24"/>
      <c r="P210" s="24"/>
      <c r="Q210" s="24"/>
      <c r="R210" s="24" t="s">
        <v>78</v>
      </c>
      <c r="S210" s="24">
        <v>0.86</v>
      </c>
      <c r="T210" s="23">
        <v>0.1006464606303159</v>
      </c>
    </row>
    <row r="211" spans="1:20" x14ac:dyDescent="0.25">
      <c r="A211" s="24" t="s">
        <v>250</v>
      </c>
      <c r="B211" s="14">
        <v>0.71</v>
      </c>
      <c r="C211" s="4">
        <v>3.52</v>
      </c>
      <c r="D211" s="52">
        <v>1</v>
      </c>
      <c r="E211" s="52">
        <v>4</v>
      </c>
      <c r="F211" s="5">
        <v>6</v>
      </c>
      <c r="G211" s="176">
        <v>1</v>
      </c>
      <c r="H211" s="179">
        <v>5</v>
      </c>
      <c r="I211" s="24"/>
      <c r="J211" s="24"/>
      <c r="K211" s="24"/>
      <c r="L211" s="24"/>
      <c r="M211" s="24"/>
      <c r="N211" s="24"/>
      <c r="O211" s="24"/>
      <c r="P211" s="24"/>
      <c r="Q211" s="24"/>
      <c r="R211" s="24" t="s">
        <v>78</v>
      </c>
      <c r="S211" s="24">
        <v>0.71</v>
      </c>
      <c r="T211" s="23">
        <v>9.682467750261381E-2</v>
      </c>
    </row>
    <row r="212" spans="1:20" x14ac:dyDescent="0.25">
      <c r="A212" s="24" t="s">
        <v>251</v>
      </c>
      <c r="B212" s="3">
        <v>0.93</v>
      </c>
      <c r="C212" s="4">
        <v>2</v>
      </c>
      <c r="D212" s="52">
        <v>4</v>
      </c>
      <c r="E212" s="52">
        <v>4</v>
      </c>
      <c r="F212" s="5">
        <v>5</v>
      </c>
      <c r="G212" s="176">
        <v>3</v>
      </c>
      <c r="H212" s="15"/>
      <c r="I212" s="24"/>
      <c r="J212" s="24"/>
      <c r="K212" s="24" t="s">
        <v>109</v>
      </c>
      <c r="L212" s="24"/>
      <c r="M212" s="24"/>
      <c r="N212" s="24"/>
      <c r="O212" s="24"/>
      <c r="P212" s="24"/>
      <c r="Q212" s="24"/>
      <c r="R212" s="24" t="s">
        <v>78</v>
      </c>
      <c r="S212" s="24">
        <v>0.93</v>
      </c>
      <c r="T212" s="23">
        <v>9.677147465055505E-2</v>
      </c>
    </row>
    <row r="213" spans="1:20" x14ac:dyDescent="0.25">
      <c r="A213" s="24" t="s">
        <v>252</v>
      </c>
      <c r="B213" s="3">
        <v>0.8</v>
      </c>
      <c r="C213" s="4">
        <v>2.0499999999999998</v>
      </c>
      <c r="D213" s="52">
        <v>3</v>
      </c>
      <c r="E213" s="52">
        <v>4</v>
      </c>
      <c r="F213" s="5">
        <v>6</v>
      </c>
      <c r="G213" s="176">
        <v>1</v>
      </c>
      <c r="H213" s="179">
        <v>5</v>
      </c>
      <c r="I213" s="24"/>
      <c r="J213" s="24"/>
      <c r="K213" s="24"/>
      <c r="L213" s="24"/>
      <c r="M213" s="24"/>
      <c r="N213" s="24"/>
      <c r="O213" s="24"/>
      <c r="P213" s="24"/>
      <c r="Q213" s="24"/>
      <c r="R213" s="24" t="s">
        <v>78</v>
      </c>
      <c r="S213" s="24">
        <v>0.8</v>
      </c>
      <c r="T213" s="23">
        <v>9.2197568680324499E-2</v>
      </c>
    </row>
    <row r="214" spans="1:20" x14ac:dyDescent="0.25">
      <c r="A214" s="24" t="s">
        <v>253</v>
      </c>
      <c r="B214" s="3">
        <v>0.91</v>
      </c>
      <c r="C214" s="4">
        <v>2.8</v>
      </c>
      <c r="D214" s="52">
        <v>4</v>
      </c>
      <c r="E214" s="52">
        <v>4</v>
      </c>
      <c r="F214" s="5">
        <v>6</v>
      </c>
      <c r="G214" s="176">
        <v>1</v>
      </c>
      <c r="H214" s="179">
        <v>5</v>
      </c>
      <c r="I214" s="24"/>
      <c r="J214" s="24"/>
      <c r="K214" s="24" t="s">
        <v>109</v>
      </c>
      <c r="L214" s="24"/>
      <c r="M214" s="24"/>
      <c r="N214" s="24"/>
      <c r="O214" s="24"/>
      <c r="P214" s="24"/>
      <c r="Q214" s="24"/>
      <c r="R214" s="24" t="s">
        <v>78</v>
      </c>
      <c r="S214" s="24">
        <v>0.91</v>
      </c>
      <c r="T214" s="23">
        <v>7.4167969335980313E-2</v>
      </c>
    </row>
    <row r="215" spans="1:20" x14ac:dyDescent="0.25">
      <c r="A215" s="24" t="s">
        <v>254</v>
      </c>
      <c r="B215" s="25">
        <v>0.18</v>
      </c>
      <c r="C215" s="4">
        <v>2.9</v>
      </c>
      <c r="D215" s="52">
        <v>5</v>
      </c>
      <c r="E215" s="52">
        <v>4</v>
      </c>
      <c r="F215" s="5">
        <v>5</v>
      </c>
      <c r="G215" s="176">
        <v>3</v>
      </c>
      <c r="H215" s="15"/>
      <c r="I215" s="24" t="s">
        <v>46</v>
      </c>
      <c r="J215" s="24"/>
      <c r="K215" s="24" t="s">
        <v>109</v>
      </c>
      <c r="L215" s="24"/>
      <c r="M215" s="24"/>
      <c r="N215" s="24"/>
      <c r="O215" s="24"/>
      <c r="P215" s="24"/>
      <c r="Q215" s="24"/>
      <c r="R215" s="24" t="s">
        <v>78</v>
      </c>
      <c r="S215" s="24">
        <v>0.18</v>
      </c>
      <c r="T215" s="23">
        <v>6.8465643749109642E-2</v>
      </c>
    </row>
    <row r="216" spans="1:20" x14ac:dyDescent="0.25">
      <c r="A216" s="24" t="s">
        <v>255</v>
      </c>
      <c r="B216" s="3">
        <v>0.95</v>
      </c>
      <c r="C216" s="4">
        <v>2.36</v>
      </c>
      <c r="D216" s="52">
        <v>5</v>
      </c>
      <c r="E216" s="52">
        <v>4</v>
      </c>
      <c r="F216" s="5">
        <v>5</v>
      </c>
      <c r="G216" s="176">
        <v>3</v>
      </c>
      <c r="H216" s="179">
        <v>5</v>
      </c>
      <c r="I216" s="24"/>
      <c r="J216" s="24"/>
      <c r="K216" s="24" t="s">
        <v>109</v>
      </c>
      <c r="L216" s="24"/>
      <c r="M216" s="24"/>
      <c r="N216" s="24"/>
      <c r="O216" s="24"/>
      <c r="P216" s="24"/>
      <c r="Q216" s="24"/>
      <c r="R216" s="24" t="s">
        <v>78</v>
      </c>
      <c r="S216" s="24">
        <v>0.95</v>
      </c>
      <c r="T216" s="23">
        <v>4.4353110641818218E-2</v>
      </c>
    </row>
    <row r="217" spans="1:20" x14ac:dyDescent="0.25">
      <c r="A217" s="24" t="s">
        <v>256</v>
      </c>
      <c r="B217" s="3" t="s">
        <v>71</v>
      </c>
      <c r="C217" s="4" t="s">
        <v>71</v>
      </c>
      <c r="D217" s="52">
        <v>4</v>
      </c>
      <c r="E217" s="52">
        <v>4</v>
      </c>
      <c r="F217" s="5">
        <v>6</v>
      </c>
      <c r="G217" s="176">
        <v>1</v>
      </c>
      <c r="H217" s="179">
        <v>3</v>
      </c>
      <c r="I217" s="24" t="s">
        <v>46</v>
      </c>
      <c r="J217" s="24"/>
      <c r="K217" s="24"/>
      <c r="L217" s="24"/>
      <c r="M217" s="24"/>
      <c r="N217" s="24"/>
      <c r="O217" s="24"/>
      <c r="P217" s="24"/>
      <c r="Q217" s="24"/>
      <c r="R217" s="24" t="s">
        <v>78</v>
      </c>
      <c r="S217" s="24" t="s">
        <v>71</v>
      </c>
      <c r="T217" s="7" t="s">
        <v>257</v>
      </c>
    </row>
    <row r="218" spans="1:20" x14ac:dyDescent="0.25">
      <c r="A218" s="24" t="s">
        <v>258</v>
      </c>
      <c r="B218" s="14">
        <v>0.63</v>
      </c>
      <c r="C218" s="4">
        <v>4.4400000000000004</v>
      </c>
      <c r="D218" s="52">
        <v>5</v>
      </c>
      <c r="E218" s="52">
        <v>4</v>
      </c>
      <c r="F218" s="5">
        <v>5</v>
      </c>
      <c r="G218" s="176">
        <v>3</v>
      </c>
      <c r="H218" s="179">
        <v>4</v>
      </c>
      <c r="I218" s="24"/>
      <c r="J218" s="24"/>
      <c r="K218" s="24"/>
      <c r="L218" s="24"/>
      <c r="M218" s="24"/>
      <c r="N218" s="24"/>
      <c r="O218" s="24"/>
      <c r="P218" s="24"/>
      <c r="Q218" s="24"/>
      <c r="R218" s="24" t="s">
        <v>78</v>
      </c>
      <c r="S218" s="24">
        <v>0.63</v>
      </c>
      <c r="T218" s="7" t="s">
        <v>257</v>
      </c>
    </row>
    <row r="219" spans="1:20" x14ac:dyDescent="0.25">
      <c r="A219" s="24" t="s">
        <v>259</v>
      </c>
      <c r="B219" s="3">
        <v>1</v>
      </c>
      <c r="C219" s="4">
        <v>5.96</v>
      </c>
      <c r="D219" s="52">
        <v>4</v>
      </c>
      <c r="E219" s="52">
        <v>4</v>
      </c>
      <c r="F219" s="5">
        <v>4</v>
      </c>
      <c r="G219" s="176">
        <v>3</v>
      </c>
      <c r="H219" s="179">
        <v>3</v>
      </c>
      <c r="I219" s="24" t="s">
        <v>46</v>
      </c>
      <c r="J219" s="24"/>
      <c r="K219" s="24"/>
      <c r="L219" s="24"/>
      <c r="M219" s="24"/>
      <c r="N219" s="24"/>
      <c r="O219" s="24"/>
      <c r="P219" s="24"/>
      <c r="Q219" s="24"/>
      <c r="R219" s="24" t="s">
        <v>78</v>
      </c>
      <c r="S219" s="24">
        <v>1</v>
      </c>
      <c r="T219" s="7" t="s">
        <v>257</v>
      </c>
    </row>
    <row r="220" spans="1:20" x14ac:dyDescent="0.25">
      <c r="A220" s="27" t="s">
        <v>260</v>
      </c>
      <c r="B220" s="18">
        <v>0.38</v>
      </c>
      <c r="C220" s="4">
        <v>1.94</v>
      </c>
      <c r="D220" s="52">
        <v>1</v>
      </c>
      <c r="E220" s="52">
        <v>1</v>
      </c>
      <c r="F220" s="5">
        <v>1</v>
      </c>
      <c r="G220" s="176">
        <v>4</v>
      </c>
      <c r="H220" s="15"/>
      <c r="I220" s="27" t="s">
        <v>46</v>
      </c>
      <c r="J220" s="27" t="s">
        <v>67</v>
      </c>
      <c r="K220" s="27"/>
      <c r="L220" s="27"/>
      <c r="M220" s="27"/>
      <c r="N220" s="27"/>
      <c r="O220" s="27"/>
      <c r="P220" s="27"/>
      <c r="Q220" s="27"/>
      <c r="R220" s="27" t="s">
        <v>261</v>
      </c>
      <c r="S220" s="27">
        <v>0.38</v>
      </c>
      <c r="T220" s="7" t="s">
        <v>257</v>
      </c>
    </row>
    <row r="221" spans="1:20" x14ac:dyDescent="0.25">
      <c r="A221" s="27" t="s">
        <v>262</v>
      </c>
      <c r="B221" s="18">
        <v>0.3</v>
      </c>
      <c r="C221" s="4">
        <v>1.95</v>
      </c>
      <c r="D221" s="52">
        <v>2</v>
      </c>
      <c r="E221" s="52">
        <v>1</v>
      </c>
      <c r="F221" s="5">
        <v>7</v>
      </c>
      <c r="G221" s="176">
        <v>4</v>
      </c>
      <c r="H221" s="179">
        <v>2</v>
      </c>
      <c r="I221" s="27" t="s">
        <v>64</v>
      </c>
      <c r="J221" s="27" t="s">
        <v>67</v>
      </c>
      <c r="K221" s="27"/>
      <c r="L221" s="27"/>
      <c r="M221" s="27"/>
      <c r="N221" s="27"/>
      <c r="O221" s="27"/>
      <c r="P221" s="27"/>
      <c r="Q221" s="27"/>
      <c r="R221" s="27" t="s">
        <v>261</v>
      </c>
      <c r="S221" s="27">
        <v>0.3</v>
      </c>
      <c r="T221" s="7" t="s">
        <v>257</v>
      </c>
    </row>
    <row r="222" spans="1:20" x14ac:dyDescent="0.25">
      <c r="A222" s="27" t="s">
        <v>263</v>
      </c>
      <c r="B222" s="19">
        <v>0.54</v>
      </c>
      <c r="C222" s="4">
        <v>2.4</v>
      </c>
      <c r="D222" s="52">
        <v>2</v>
      </c>
      <c r="E222" s="52">
        <v>1</v>
      </c>
      <c r="F222" s="5">
        <v>1</v>
      </c>
      <c r="G222" s="176">
        <v>4</v>
      </c>
      <c r="H222" s="15"/>
      <c r="I222" s="27" t="s">
        <v>46</v>
      </c>
      <c r="J222" s="27" t="s">
        <v>67</v>
      </c>
      <c r="K222" s="27"/>
      <c r="L222" s="27"/>
      <c r="M222" s="27"/>
      <c r="N222" s="27"/>
      <c r="O222" s="27"/>
      <c r="P222" s="27"/>
      <c r="Q222" s="27"/>
      <c r="R222" s="27" t="s">
        <v>261</v>
      </c>
      <c r="S222" s="27">
        <v>0.54</v>
      </c>
      <c r="T222" s="7" t="s">
        <v>257</v>
      </c>
    </row>
    <row r="223" spans="1:20" x14ac:dyDescent="0.25">
      <c r="A223" s="27" t="s">
        <v>264</v>
      </c>
      <c r="B223" s="18">
        <v>0.28999999999999998</v>
      </c>
      <c r="C223" s="4">
        <v>2.02</v>
      </c>
      <c r="D223" s="52">
        <v>3</v>
      </c>
      <c r="E223" s="52">
        <v>1</v>
      </c>
      <c r="F223" s="5">
        <v>7</v>
      </c>
      <c r="G223" s="176">
        <v>7</v>
      </c>
      <c r="H223" s="179">
        <v>2</v>
      </c>
      <c r="I223" s="27" t="s">
        <v>33</v>
      </c>
      <c r="J223" s="27" t="s">
        <v>67</v>
      </c>
      <c r="K223" s="27"/>
      <c r="L223" s="27"/>
      <c r="M223" s="27"/>
      <c r="N223" s="27"/>
      <c r="O223" s="27"/>
      <c r="P223" s="27"/>
      <c r="Q223" s="27"/>
      <c r="R223" s="27" t="s">
        <v>261</v>
      </c>
      <c r="S223" s="27">
        <v>0.28999999999999998</v>
      </c>
      <c r="T223" s="7" t="s">
        <v>257</v>
      </c>
    </row>
    <row r="224" spans="1:20" x14ac:dyDescent="0.25">
      <c r="A224" s="27" t="s">
        <v>265</v>
      </c>
      <c r="B224" s="18">
        <v>0.33</v>
      </c>
      <c r="C224" s="4">
        <v>1.83</v>
      </c>
      <c r="D224" s="52">
        <v>1</v>
      </c>
      <c r="E224" s="52">
        <v>1</v>
      </c>
      <c r="F224" s="5">
        <v>2</v>
      </c>
      <c r="G224" s="176">
        <v>4</v>
      </c>
      <c r="H224" s="179">
        <v>2</v>
      </c>
      <c r="I224" s="27"/>
      <c r="J224" s="27"/>
      <c r="K224" s="27"/>
      <c r="L224" s="27"/>
      <c r="M224" s="27"/>
      <c r="N224" s="27" t="s">
        <v>33</v>
      </c>
      <c r="O224" s="27"/>
      <c r="P224" s="27"/>
      <c r="Q224" s="27"/>
      <c r="R224" s="27" t="s">
        <v>261</v>
      </c>
      <c r="S224" s="27">
        <v>0.33</v>
      </c>
      <c r="T224" s="7" t="s">
        <v>257</v>
      </c>
    </row>
    <row r="225" spans="1:20" x14ac:dyDescent="0.25">
      <c r="A225" s="27" t="s">
        <v>266</v>
      </c>
      <c r="B225" s="18">
        <v>0.38</v>
      </c>
      <c r="C225" s="4">
        <v>1.99</v>
      </c>
      <c r="D225" s="52">
        <v>1</v>
      </c>
      <c r="E225" s="52">
        <v>1</v>
      </c>
      <c r="F225" s="5">
        <v>2</v>
      </c>
      <c r="G225" s="176">
        <v>4</v>
      </c>
      <c r="H225" s="15"/>
      <c r="I225" s="27"/>
      <c r="J225" s="27" t="s">
        <v>67</v>
      </c>
      <c r="K225" s="27"/>
      <c r="L225" s="27"/>
      <c r="M225" s="27"/>
      <c r="N225" s="27"/>
      <c r="O225" s="27"/>
      <c r="P225" s="27"/>
      <c r="Q225" s="27"/>
      <c r="R225" s="27" t="s">
        <v>261</v>
      </c>
      <c r="S225" s="27">
        <v>0.38</v>
      </c>
      <c r="T225" s="7" t="s">
        <v>257</v>
      </c>
    </row>
    <row r="226" spans="1:20" x14ac:dyDescent="0.25">
      <c r="A226" s="27" t="s">
        <v>267</v>
      </c>
      <c r="B226" s="19">
        <v>0.53</v>
      </c>
      <c r="C226" s="4">
        <v>1.92</v>
      </c>
      <c r="D226" s="52">
        <v>1</v>
      </c>
      <c r="E226" s="52">
        <v>1</v>
      </c>
      <c r="F226" s="5">
        <v>1</v>
      </c>
      <c r="G226" s="176">
        <v>4</v>
      </c>
      <c r="H226" s="179">
        <v>2</v>
      </c>
      <c r="I226" s="27" t="s">
        <v>25</v>
      </c>
      <c r="J226" s="27" t="s">
        <v>67</v>
      </c>
      <c r="K226" s="27"/>
      <c r="L226" s="27"/>
      <c r="M226" s="27"/>
      <c r="N226" s="27"/>
      <c r="O226" s="27"/>
      <c r="P226" s="27"/>
      <c r="Q226" s="27"/>
      <c r="R226" s="27" t="s">
        <v>261</v>
      </c>
      <c r="S226" s="27">
        <v>0.53</v>
      </c>
      <c r="T226" s="7" t="s">
        <v>257</v>
      </c>
    </row>
    <row r="227" spans="1:20" x14ac:dyDescent="0.25">
      <c r="A227" s="27" t="s">
        <v>268</v>
      </c>
      <c r="B227" s="18">
        <v>0.31</v>
      </c>
      <c r="C227" s="4">
        <v>3.17</v>
      </c>
      <c r="D227" s="52">
        <v>2</v>
      </c>
      <c r="E227" s="52">
        <v>1</v>
      </c>
      <c r="F227" s="5">
        <v>7</v>
      </c>
      <c r="G227" s="176">
        <v>4</v>
      </c>
      <c r="H227" s="15"/>
      <c r="I227" s="27"/>
      <c r="J227" s="27"/>
      <c r="K227" s="27"/>
      <c r="L227" s="27"/>
      <c r="M227" s="27"/>
      <c r="N227" s="27"/>
      <c r="O227" s="27"/>
      <c r="P227" s="27"/>
      <c r="Q227" s="27"/>
      <c r="R227" s="27" t="s">
        <v>261</v>
      </c>
      <c r="S227" s="27">
        <v>0.31</v>
      </c>
      <c r="T227" s="7" t="s">
        <v>257</v>
      </c>
    </row>
    <row r="228" spans="1:20" x14ac:dyDescent="0.25">
      <c r="A228" s="27" t="s">
        <v>269</v>
      </c>
      <c r="B228" s="19">
        <v>0.52</v>
      </c>
      <c r="C228" s="4">
        <v>1.83</v>
      </c>
      <c r="D228" s="52">
        <v>2</v>
      </c>
      <c r="E228" s="52">
        <v>1</v>
      </c>
      <c r="F228" s="5">
        <v>2</v>
      </c>
      <c r="G228" s="176">
        <v>4</v>
      </c>
      <c r="H228" s="15"/>
      <c r="I228" s="27" t="s">
        <v>46</v>
      </c>
      <c r="J228" s="27" t="s">
        <v>67</v>
      </c>
      <c r="K228" s="27"/>
      <c r="L228" s="27"/>
      <c r="M228" s="27"/>
      <c r="N228" s="27"/>
      <c r="O228" s="27"/>
      <c r="P228" s="27"/>
      <c r="Q228" s="27"/>
      <c r="R228" s="27" t="s">
        <v>261</v>
      </c>
      <c r="S228" s="27">
        <v>0.52</v>
      </c>
      <c r="T228" s="7" t="s">
        <v>257</v>
      </c>
    </row>
    <row r="229" spans="1:20" x14ac:dyDescent="0.25">
      <c r="A229" s="27" t="s">
        <v>270</v>
      </c>
      <c r="B229" s="14">
        <v>0.6</v>
      </c>
      <c r="C229" s="4">
        <v>1.9</v>
      </c>
      <c r="D229" s="52">
        <v>1</v>
      </c>
      <c r="E229" s="52">
        <v>1</v>
      </c>
      <c r="F229" s="5">
        <v>1</v>
      </c>
      <c r="G229" s="176">
        <v>4</v>
      </c>
      <c r="H229" s="179">
        <v>1</v>
      </c>
      <c r="I229" s="27" t="s">
        <v>46</v>
      </c>
      <c r="J229" s="27" t="s">
        <v>67</v>
      </c>
      <c r="K229" s="27"/>
      <c r="L229" s="27"/>
      <c r="M229" s="27"/>
      <c r="N229" s="27"/>
      <c r="O229" s="27"/>
      <c r="P229" s="27"/>
      <c r="Q229" s="27"/>
      <c r="R229" s="27" t="s">
        <v>261</v>
      </c>
      <c r="S229" s="27">
        <v>0.6</v>
      </c>
      <c r="T229" s="7" t="s">
        <v>257</v>
      </c>
    </row>
    <row r="230" spans="1:20" x14ac:dyDescent="0.25">
      <c r="A230" s="27" t="s">
        <v>271</v>
      </c>
      <c r="B230" s="18">
        <v>0.36</v>
      </c>
      <c r="C230" s="4">
        <v>3.41</v>
      </c>
      <c r="D230" s="52">
        <v>4</v>
      </c>
      <c r="E230" s="52">
        <v>1</v>
      </c>
      <c r="F230" s="5">
        <v>1</v>
      </c>
      <c r="G230" s="176">
        <v>4</v>
      </c>
      <c r="H230" s="15"/>
      <c r="I230" s="27" t="s">
        <v>33</v>
      </c>
      <c r="J230" s="27" t="s">
        <v>67</v>
      </c>
      <c r="K230" s="27"/>
      <c r="L230" s="27"/>
      <c r="M230" s="27"/>
      <c r="N230" s="27"/>
      <c r="O230" s="27"/>
      <c r="P230" s="27"/>
      <c r="Q230" s="27"/>
      <c r="R230" s="27" t="s">
        <v>261</v>
      </c>
      <c r="S230" s="27">
        <v>0.36</v>
      </c>
      <c r="T230" s="7" t="s">
        <v>257</v>
      </c>
    </row>
    <row r="231" spans="1:20" x14ac:dyDescent="0.25">
      <c r="A231" s="27" t="s">
        <v>272</v>
      </c>
      <c r="B231" s="18">
        <v>0.28999999999999998</v>
      </c>
      <c r="C231" s="4">
        <v>1.81</v>
      </c>
      <c r="D231" s="52">
        <v>2</v>
      </c>
      <c r="E231" s="52">
        <v>1</v>
      </c>
      <c r="F231" s="5">
        <v>2</v>
      </c>
      <c r="G231" s="176">
        <v>4</v>
      </c>
      <c r="H231" s="179">
        <v>1</v>
      </c>
      <c r="I231" s="27" t="s">
        <v>46</v>
      </c>
      <c r="J231" s="27" t="s">
        <v>67</v>
      </c>
      <c r="K231" s="27"/>
      <c r="L231" s="27"/>
      <c r="M231" s="27"/>
      <c r="N231" s="27"/>
      <c r="O231" s="27"/>
      <c r="P231" s="27"/>
      <c r="Q231" s="27"/>
      <c r="R231" s="27" t="s">
        <v>261</v>
      </c>
      <c r="S231" s="27">
        <v>0.28999999999999998</v>
      </c>
      <c r="T231" s="7" t="s">
        <v>257</v>
      </c>
    </row>
    <row r="232" spans="1:20" x14ac:dyDescent="0.25">
      <c r="A232" s="27" t="s">
        <v>273</v>
      </c>
      <c r="B232" s="19">
        <v>0.44</v>
      </c>
      <c r="C232" s="4">
        <v>1.87</v>
      </c>
      <c r="D232" s="52">
        <v>4</v>
      </c>
      <c r="E232" s="52">
        <v>1</v>
      </c>
      <c r="F232" s="5">
        <v>1</v>
      </c>
      <c r="G232" s="176">
        <v>4</v>
      </c>
      <c r="H232" s="179">
        <v>2</v>
      </c>
      <c r="I232" s="27" t="s">
        <v>46</v>
      </c>
      <c r="J232" s="27" t="s">
        <v>67</v>
      </c>
      <c r="K232" s="27"/>
      <c r="L232" s="27"/>
      <c r="M232" s="27"/>
      <c r="N232" s="27"/>
      <c r="O232" s="27"/>
      <c r="P232" s="27"/>
      <c r="Q232" s="27"/>
      <c r="R232" s="27" t="s">
        <v>261</v>
      </c>
      <c r="S232" s="27">
        <v>0.44</v>
      </c>
      <c r="T232" s="7" t="s">
        <v>257</v>
      </c>
    </row>
    <row r="233" spans="1:20" x14ac:dyDescent="0.25">
      <c r="A233" s="27" t="s">
        <v>274</v>
      </c>
      <c r="B233" s="18">
        <v>0.38</v>
      </c>
      <c r="C233" s="4">
        <v>1.8</v>
      </c>
      <c r="D233" s="52">
        <v>2</v>
      </c>
      <c r="E233" s="52">
        <v>1</v>
      </c>
      <c r="F233" s="5">
        <v>1</v>
      </c>
      <c r="G233" s="176">
        <v>4</v>
      </c>
      <c r="H233" s="179">
        <v>1</v>
      </c>
      <c r="I233" s="27" t="s">
        <v>64</v>
      </c>
      <c r="J233" s="27" t="s">
        <v>40</v>
      </c>
      <c r="K233" s="27"/>
      <c r="L233" s="27"/>
      <c r="M233" s="27"/>
      <c r="N233" s="27"/>
      <c r="O233" s="27"/>
      <c r="P233" s="27"/>
      <c r="Q233" s="27"/>
      <c r="R233" s="27" t="s">
        <v>261</v>
      </c>
      <c r="S233" s="27">
        <v>0.38</v>
      </c>
      <c r="T233" s="7" t="s">
        <v>257</v>
      </c>
    </row>
    <row r="234" spans="1:20" x14ac:dyDescent="0.25">
      <c r="A234" s="27" t="s">
        <v>275</v>
      </c>
      <c r="B234" s="18">
        <v>0.33</v>
      </c>
      <c r="C234" s="4">
        <v>1.98</v>
      </c>
      <c r="D234" s="52">
        <v>5</v>
      </c>
      <c r="E234" s="52">
        <v>1</v>
      </c>
      <c r="F234" s="5">
        <v>3</v>
      </c>
      <c r="G234" s="176">
        <v>5</v>
      </c>
      <c r="H234" s="179">
        <v>2</v>
      </c>
      <c r="I234" s="27"/>
      <c r="J234" s="27"/>
      <c r="K234" s="27"/>
      <c r="L234" s="27"/>
      <c r="M234" s="27"/>
      <c r="N234" s="27"/>
      <c r="O234" s="27"/>
      <c r="P234" s="27"/>
      <c r="Q234" s="27"/>
      <c r="R234" s="27" t="s">
        <v>261</v>
      </c>
      <c r="S234" s="27">
        <v>0.33</v>
      </c>
      <c r="T234" s="7" t="s">
        <v>257</v>
      </c>
    </row>
    <row r="235" spans="1:20" x14ac:dyDescent="0.25">
      <c r="A235" s="27" t="s">
        <v>276</v>
      </c>
      <c r="B235" s="18">
        <v>0.3</v>
      </c>
      <c r="C235" s="4">
        <v>1.86</v>
      </c>
      <c r="D235" s="52">
        <v>2</v>
      </c>
      <c r="E235" s="52">
        <v>1</v>
      </c>
      <c r="F235" s="5">
        <v>2</v>
      </c>
      <c r="G235" s="176">
        <v>7</v>
      </c>
      <c r="H235" s="15"/>
      <c r="I235" s="27" t="s">
        <v>46</v>
      </c>
      <c r="J235" s="27" t="s">
        <v>67</v>
      </c>
      <c r="K235" s="27"/>
      <c r="L235" s="27"/>
      <c r="M235" s="27"/>
      <c r="N235" s="27"/>
      <c r="O235" s="27"/>
      <c r="P235" s="27"/>
      <c r="Q235" s="27"/>
      <c r="R235" s="27" t="s">
        <v>261</v>
      </c>
      <c r="S235" s="27">
        <v>0.3</v>
      </c>
      <c r="T235" s="7" t="s">
        <v>257</v>
      </c>
    </row>
    <row r="236" spans="1:20" x14ac:dyDescent="0.25">
      <c r="A236" s="27" t="s">
        <v>277</v>
      </c>
      <c r="B236" s="18">
        <v>0.38</v>
      </c>
      <c r="C236" s="4">
        <v>1.97</v>
      </c>
      <c r="D236" s="52">
        <v>2</v>
      </c>
      <c r="E236" s="52">
        <v>1</v>
      </c>
      <c r="F236" s="5">
        <v>2</v>
      </c>
      <c r="G236" s="176">
        <v>4</v>
      </c>
      <c r="H236" s="179">
        <v>2</v>
      </c>
      <c r="I236" s="27" t="s">
        <v>46</v>
      </c>
      <c r="J236" s="27" t="s">
        <v>67</v>
      </c>
      <c r="K236" s="27"/>
      <c r="L236" s="27"/>
      <c r="M236" s="27"/>
      <c r="N236" s="27"/>
      <c r="O236" s="27"/>
      <c r="P236" s="27"/>
      <c r="Q236" s="27"/>
      <c r="R236" s="27" t="s">
        <v>261</v>
      </c>
      <c r="S236" s="27">
        <v>0.38</v>
      </c>
      <c r="T236" s="7" t="s">
        <v>257</v>
      </c>
    </row>
    <row r="237" spans="1:20" x14ac:dyDescent="0.25">
      <c r="A237" s="27" t="s">
        <v>278</v>
      </c>
      <c r="B237" s="18">
        <v>0.36</v>
      </c>
      <c r="C237" s="4">
        <v>1.8</v>
      </c>
      <c r="D237" s="52">
        <v>4</v>
      </c>
      <c r="E237" s="52">
        <v>1</v>
      </c>
      <c r="F237" s="5">
        <v>2</v>
      </c>
      <c r="G237" s="176">
        <v>4</v>
      </c>
      <c r="H237" s="15"/>
      <c r="I237" s="27" t="s">
        <v>25</v>
      </c>
      <c r="J237" s="27" t="s">
        <v>67</v>
      </c>
      <c r="K237" s="27"/>
      <c r="L237" s="27"/>
      <c r="M237" s="27"/>
      <c r="N237" s="27"/>
      <c r="O237" s="27"/>
      <c r="P237" s="27"/>
      <c r="Q237" s="27"/>
      <c r="R237" s="27" t="s">
        <v>261</v>
      </c>
      <c r="S237" s="27">
        <v>0.36</v>
      </c>
      <c r="T237" s="7" t="s">
        <v>257</v>
      </c>
    </row>
    <row r="238" spans="1:20" x14ac:dyDescent="0.25">
      <c r="A238" s="27" t="s">
        <v>279</v>
      </c>
      <c r="B238" s="19">
        <v>0.51</v>
      </c>
      <c r="C238" s="4">
        <v>1.83</v>
      </c>
      <c r="D238" s="52">
        <v>2</v>
      </c>
      <c r="E238" s="52">
        <v>1</v>
      </c>
      <c r="F238" s="5">
        <v>1</v>
      </c>
      <c r="G238" s="176">
        <v>4</v>
      </c>
      <c r="H238" s="179">
        <v>1</v>
      </c>
      <c r="I238" s="27" t="s">
        <v>46</v>
      </c>
      <c r="J238" s="27" t="s">
        <v>67</v>
      </c>
      <c r="K238" s="27"/>
      <c r="L238" s="27"/>
      <c r="M238" s="27"/>
      <c r="N238" s="27"/>
      <c r="O238" s="27"/>
      <c r="P238" s="27" t="s">
        <v>92</v>
      </c>
      <c r="Q238" s="27"/>
      <c r="R238" s="27" t="s">
        <v>261</v>
      </c>
      <c r="S238" s="27">
        <v>0.51</v>
      </c>
      <c r="T238" s="7" t="s">
        <v>257</v>
      </c>
    </row>
    <row r="239" spans="1:20" x14ac:dyDescent="0.25">
      <c r="A239" s="27" t="s">
        <v>280</v>
      </c>
      <c r="B239" s="19">
        <v>0.57999999999999996</v>
      </c>
      <c r="C239" s="4">
        <v>1.91</v>
      </c>
      <c r="D239" s="52">
        <v>2</v>
      </c>
      <c r="E239" s="52">
        <v>1</v>
      </c>
      <c r="F239" s="5">
        <v>2</v>
      </c>
      <c r="G239" s="176">
        <v>4</v>
      </c>
      <c r="H239" s="179">
        <v>2</v>
      </c>
      <c r="I239" s="27" t="s">
        <v>46</v>
      </c>
      <c r="J239" s="27" t="s">
        <v>67</v>
      </c>
      <c r="K239" s="27"/>
      <c r="L239" s="27"/>
      <c r="M239" s="27"/>
      <c r="N239" s="27"/>
      <c r="O239" s="27"/>
      <c r="P239" s="27"/>
      <c r="Q239" s="27"/>
      <c r="R239" s="27" t="s">
        <v>261</v>
      </c>
      <c r="S239" s="27">
        <v>0.57999999999999996</v>
      </c>
      <c r="T239" s="7" t="s">
        <v>257</v>
      </c>
    </row>
    <row r="240" spans="1:20" x14ac:dyDescent="0.25">
      <c r="A240" s="27" t="s">
        <v>281</v>
      </c>
      <c r="B240" s="18">
        <v>0.33</v>
      </c>
      <c r="C240" s="4">
        <v>2</v>
      </c>
      <c r="D240" s="52">
        <v>3</v>
      </c>
      <c r="E240" s="52">
        <v>1</v>
      </c>
      <c r="F240" s="5">
        <v>7</v>
      </c>
      <c r="G240" s="176">
        <v>7</v>
      </c>
      <c r="H240" s="179">
        <v>1</v>
      </c>
      <c r="I240" s="27"/>
      <c r="J240" s="27" t="s">
        <v>67</v>
      </c>
      <c r="K240" s="27"/>
      <c r="L240" s="27"/>
      <c r="M240" s="27"/>
      <c r="N240" s="27"/>
      <c r="O240" s="27"/>
      <c r="P240" s="27"/>
      <c r="Q240" s="27"/>
      <c r="R240" s="27" t="s">
        <v>261</v>
      </c>
      <c r="S240" s="27">
        <v>0.33</v>
      </c>
      <c r="T240" s="7" t="s">
        <v>257</v>
      </c>
    </row>
    <row r="241" spans="1:20" x14ac:dyDescent="0.25">
      <c r="A241" s="27" t="s">
        <v>282</v>
      </c>
      <c r="B241" s="19">
        <v>0.56000000000000005</v>
      </c>
      <c r="C241" s="4">
        <v>1.96</v>
      </c>
      <c r="D241" s="52">
        <v>2</v>
      </c>
      <c r="E241" s="52">
        <v>1</v>
      </c>
      <c r="F241" s="5">
        <v>2</v>
      </c>
      <c r="G241" s="176">
        <v>4</v>
      </c>
      <c r="H241" s="179">
        <v>2</v>
      </c>
      <c r="I241" s="27" t="s">
        <v>46</v>
      </c>
      <c r="J241" s="27" t="s">
        <v>67</v>
      </c>
      <c r="K241" s="27"/>
      <c r="L241" s="27"/>
      <c r="M241" s="27"/>
      <c r="N241" s="27"/>
      <c r="O241" s="27"/>
      <c r="P241" s="27"/>
      <c r="Q241" s="27"/>
      <c r="R241" s="27" t="s">
        <v>261</v>
      </c>
      <c r="S241" s="27">
        <v>0.56000000000000005</v>
      </c>
      <c r="T241" s="7" t="s">
        <v>257</v>
      </c>
    </row>
    <row r="242" spans="1:20" x14ac:dyDescent="0.25">
      <c r="A242" s="27" t="s">
        <v>283</v>
      </c>
      <c r="B242" s="19">
        <v>0.47</v>
      </c>
      <c r="C242" s="4">
        <v>3.28</v>
      </c>
      <c r="D242" s="52">
        <v>2</v>
      </c>
      <c r="E242" s="52">
        <v>1</v>
      </c>
      <c r="F242" s="5">
        <v>1</v>
      </c>
      <c r="G242" s="176">
        <v>4</v>
      </c>
      <c r="H242" s="15"/>
      <c r="I242" s="27" t="s">
        <v>64</v>
      </c>
      <c r="J242" s="27"/>
      <c r="K242" s="27" t="s">
        <v>109</v>
      </c>
      <c r="L242" s="27"/>
      <c r="M242" s="27"/>
      <c r="N242" s="27"/>
      <c r="O242" s="27"/>
      <c r="P242" s="27"/>
      <c r="Q242" s="27"/>
      <c r="R242" s="27" t="s">
        <v>261</v>
      </c>
      <c r="S242" s="27">
        <v>0.47</v>
      </c>
      <c r="T242" s="7" t="s">
        <v>257</v>
      </c>
    </row>
    <row r="243" spans="1:20" x14ac:dyDescent="0.25">
      <c r="A243" s="27" t="s">
        <v>284</v>
      </c>
      <c r="B243" s="18">
        <v>0.38</v>
      </c>
      <c r="C243" s="4">
        <v>1.82</v>
      </c>
      <c r="D243" s="52">
        <v>1</v>
      </c>
      <c r="E243" s="52">
        <v>1</v>
      </c>
      <c r="F243" s="5">
        <v>1</v>
      </c>
      <c r="G243" s="176">
        <v>4</v>
      </c>
      <c r="H243" s="179">
        <v>1</v>
      </c>
      <c r="I243" s="27"/>
      <c r="J243" s="27" t="s">
        <v>67</v>
      </c>
      <c r="K243" s="27"/>
      <c r="L243" s="27"/>
      <c r="M243" s="27"/>
      <c r="N243" s="27"/>
      <c r="O243" s="27"/>
      <c r="P243" s="27"/>
      <c r="Q243" s="27"/>
      <c r="R243" s="27" t="s">
        <v>261</v>
      </c>
      <c r="S243" s="27">
        <v>0.38</v>
      </c>
      <c r="T243" s="7" t="s">
        <v>257</v>
      </c>
    </row>
    <row r="244" spans="1:20" x14ac:dyDescent="0.25">
      <c r="A244" s="27" t="s">
        <v>285</v>
      </c>
      <c r="B244" s="14">
        <v>0.67</v>
      </c>
      <c r="C244" s="4">
        <v>1.87</v>
      </c>
      <c r="D244" s="52">
        <v>2</v>
      </c>
      <c r="E244" s="52">
        <v>1</v>
      </c>
      <c r="F244" s="5">
        <v>1</v>
      </c>
      <c r="G244" s="176">
        <v>4</v>
      </c>
      <c r="H244" s="179">
        <v>1</v>
      </c>
      <c r="I244" s="27" t="s">
        <v>46</v>
      </c>
      <c r="J244" s="27" t="s">
        <v>67</v>
      </c>
      <c r="K244" s="27"/>
      <c r="L244" s="27"/>
      <c r="M244" s="27"/>
      <c r="N244" s="27"/>
      <c r="O244" s="27"/>
      <c r="P244" s="27"/>
      <c r="Q244" s="27"/>
      <c r="R244" s="27" t="s">
        <v>261</v>
      </c>
      <c r="S244" s="27">
        <v>0.67</v>
      </c>
      <c r="T244" s="7" t="s">
        <v>257</v>
      </c>
    </row>
    <row r="245" spans="1:20" x14ac:dyDescent="0.25">
      <c r="A245" s="27" t="s">
        <v>286</v>
      </c>
      <c r="B245" s="18">
        <v>0.28999999999999998</v>
      </c>
      <c r="C245" s="4">
        <v>1.93</v>
      </c>
      <c r="D245" s="52">
        <v>2</v>
      </c>
      <c r="E245" s="52">
        <v>1</v>
      </c>
      <c r="F245" s="5">
        <v>2</v>
      </c>
      <c r="G245" s="176">
        <v>4</v>
      </c>
      <c r="H245" s="179">
        <v>2</v>
      </c>
      <c r="I245" s="27"/>
      <c r="J245" s="27" t="s">
        <v>67</v>
      </c>
      <c r="K245" s="27"/>
      <c r="L245" s="27"/>
      <c r="M245" s="27"/>
      <c r="N245" s="27"/>
      <c r="O245" s="27"/>
      <c r="P245" s="27"/>
      <c r="Q245" s="27"/>
      <c r="R245" s="27" t="s">
        <v>261</v>
      </c>
      <c r="S245" s="27">
        <v>0.28999999999999998</v>
      </c>
      <c r="T245" s="7" t="s">
        <v>257</v>
      </c>
    </row>
    <row r="246" spans="1:20" x14ac:dyDescent="0.25">
      <c r="A246" s="27" t="s">
        <v>287</v>
      </c>
      <c r="B246" s="19">
        <v>0.47</v>
      </c>
      <c r="C246" s="4">
        <v>3.83</v>
      </c>
      <c r="D246" s="52">
        <v>3</v>
      </c>
      <c r="E246" s="52">
        <v>1</v>
      </c>
      <c r="F246" s="5">
        <v>2</v>
      </c>
      <c r="G246" s="176">
        <v>7</v>
      </c>
      <c r="H246" s="15"/>
      <c r="I246" s="27" t="s">
        <v>46</v>
      </c>
      <c r="J246" s="27" t="s">
        <v>67</v>
      </c>
      <c r="K246" s="27"/>
      <c r="L246" s="27"/>
      <c r="M246" s="27"/>
      <c r="N246" s="27" t="s">
        <v>64</v>
      </c>
      <c r="O246" s="27"/>
      <c r="P246" s="27"/>
      <c r="Q246" s="27"/>
      <c r="R246" s="27" t="s">
        <v>261</v>
      </c>
      <c r="S246" s="27">
        <v>0.47</v>
      </c>
      <c r="T246" s="7" t="s">
        <v>257</v>
      </c>
    </row>
    <row r="247" spans="1:20" x14ac:dyDescent="0.25">
      <c r="A247" s="27" t="s">
        <v>288</v>
      </c>
      <c r="B247" s="19">
        <v>0.56999999999999995</v>
      </c>
      <c r="C247" s="4">
        <v>1.8</v>
      </c>
      <c r="D247" s="52">
        <v>2</v>
      </c>
      <c r="E247" s="52">
        <v>1</v>
      </c>
      <c r="F247" s="5">
        <v>2</v>
      </c>
      <c r="G247" s="176">
        <v>4</v>
      </c>
      <c r="H247" s="179">
        <v>1</v>
      </c>
      <c r="I247" s="27" t="s">
        <v>25</v>
      </c>
      <c r="J247" s="27" t="s">
        <v>67</v>
      </c>
      <c r="K247" s="27"/>
      <c r="L247" s="27"/>
      <c r="M247" s="27"/>
      <c r="N247" s="27"/>
      <c r="O247" s="27"/>
      <c r="P247" s="27"/>
      <c r="Q247" s="27"/>
      <c r="R247" s="27" t="s">
        <v>261</v>
      </c>
      <c r="S247" s="27">
        <v>0.56999999999999995</v>
      </c>
      <c r="T247" s="7" t="s">
        <v>257</v>
      </c>
    </row>
    <row r="248" spans="1:20" x14ac:dyDescent="0.25">
      <c r="A248" s="27" t="s">
        <v>289</v>
      </c>
      <c r="B248" s="19">
        <v>0.53</v>
      </c>
      <c r="C248" s="4">
        <v>3.13</v>
      </c>
      <c r="D248" s="52">
        <v>2</v>
      </c>
      <c r="E248" s="52">
        <v>1</v>
      </c>
      <c r="F248" s="5">
        <v>1</v>
      </c>
      <c r="G248" s="176">
        <v>4</v>
      </c>
      <c r="H248" s="179">
        <v>2</v>
      </c>
      <c r="I248" s="27" t="s">
        <v>46</v>
      </c>
      <c r="J248" s="27" t="s">
        <v>67</v>
      </c>
      <c r="K248" s="27"/>
      <c r="L248" s="27"/>
      <c r="M248" s="27"/>
      <c r="N248" s="27"/>
      <c r="O248" s="27"/>
      <c r="P248" s="27"/>
      <c r="Q248" s="27"/>
      <c r="R248" s="27" t="s">
        <v>261</v>
      </c>
      <c r="S248" s="27">
        <v>0.53</v>
      </c>
      <c r="T248" s="7" t="s">
        <v>257</v>
      </c>
    </row>
    <row r="249" spans="1:20" x14ac:dyDescent="0.25">
      <c r="A249" s="27" t="s">
        <v>290</v>
      </c>
      <c r="B249" s="19">
        <v>0.55000000000000004</v>
      </c>
      <c r="C249" s="4">
        <v>1.94</v>
      </c>
      <c r="D249" s="52">
        <v>1</v>
      </c>
      <c r="E249" s="52">
        <v>1</v>
      </c>
      <c r="F249" s="5">
        <v>1</v>
      </c>
      <c r="G249" s="176">
        <v>4</v>
      </c>
      <c r="H249" s="179">
        <v>1</v>
      </c>
      <c r="I249" s="27" t="s">
        <v>46</v>
      </c>
      <c r="J249" s="27"/>
      <c r="K249" s="27"/>
      <c r="L249" s="27"/>
      <c r="M249" s="27"/>
      <c r="N249" s="27"/>
      <c r="O249" s="27"/>
      <c r="P249" s="27"/>
      <c r="Q249" s="27"/>
      <c r="R249" s="27" t="s">
        <v>261</v>
      </c>
      <c r="S249" s="27">
        <v>0.55000000000000004</v>
      </c>
      <c r="T249" s="7" t="s">
        <v>257</v>
      </c>
    </row>
    <row r="250" spans="1:20" x14ac:dyDescent="0.25">
      <c r="A250" s="27" t="s">
        <v>291</v>
      </c>
      <c r="B250" s="3">
        <v>0.9</v>
      </c>
      <c r="C250" s="4">
        <v>2</v>
      </c>
      <c r="D250" s="52">
        <v>3</v>
      </c>
      <c r="E250" s="52">
        <v>1</v>
      </c>
      <c r="F250" s="5">
        <v>7</v>
      </c>
      <c r="G250" s="176">
        <v>4</v>
      </c>
      <c r="H250" s="15"/>
      <c r="I250" s="27" t="s">
        <v>46</v>
      </c>
      <c r="J250" s="27" t="s">
        <v>67</v>
      </c>
      <c r="K250" s="27"/>
      <c r="L250" s="27"/>
      <c r="M250" s="27"/>
      <c r="N250" s="27"/>
      <c r="O250" s="27"/>
      <c r="P250" s="27"/>
      <c r="Q250" s="27"/>
      <c r="R250" s="27" t="s">
        <v>261</v>
      </c>
      <c r="S250" s="27">
        <v>0.9</v>
      </c>
      <c r="T250" s="7" t="s">
        <v>257</v>
      </c>
    </row>
    <row r="251" spans="1:20" x14ac:dyDescent="0.25">
      <c r="A251" s="27" t="s">
        <v>292</v>
      </c>
      <c r="B251" s="18">
        <v>0.37</v>
      </c>
      <c r="C251" s="4">
        <v>3.48</v>
      </c>
      <c r="D251" s="52">
        <v>1</v>
      </c>
      <c r="E251" s="52">
        <v>1</v>
      </c>
      <c r="F251" s="5">
        <v>2</v>
      </c>
      <c r="G251" s="176">
        <v>4</v>
      </c>
      <c r="H251" s="15"/>
      <c r="I251" s="27"/>
      <c r="J251" s="27" t="s">
        <v>67</v>
      </c>
      <c r="K251" s="27"/>
      <c r="L251" s="27"/>
      <c r="M251" s="27"/>
      <c r="N251" s="27"/>
      <c r="O251" s="27"/>
      <c r="P251" s="27"/>
      <c r="Q251" s="27"/>
      <c r="R251" s="27" t="s">
        <v>261</v>
      </c>
      <c r="S251" s="27">
        <v>0.37</v>
      </c>
      <c r="T251" s="7" t="s">
        <v>257</v>
      </c>
    </row>
    <row r="252" spans="1:20" x14ac:dyDescent="0.25">
      <c r="A252" s="27" t="s">
        <v>293</v>
      </c>
      <c r="B252" s="14">
        <v>0.66</v>
      </c>
      <c r="C252" s="4">
        <v>1.88</v>
      </c>
      <c r="D252" s="52">
        <v>2</v>
      </c>
      <c r="E252" s="52">
        <v>1</v>
      </c>
      <c r="F252" s="5">
        <v>1</v>
      </c>
      <c r="G252" s="176">
        <v>4</v>
      </c>
      <c r="H252" s="15"/>
      <c r="I252" s="27" t="s">
        <v>46</v>
      </c>
      <c r="J252" s="27" t="s">
        <v>67</v>
      </c>
      <c r="K252" s="27"/>
      <c r="L252" s="27" t="s">
        <v>46</v>
      </c>
      <c r="M252" s="27"/>
      <c r="N252" s="27"/>
      <c r="O252" s="27"/>
      <c r="P252" s="27"/>
      <c r="Q252" s="27"/>
      <c r="R252" s="27" t="s">
        <v>261</v>
      </c>
      <c r="S252" s="27">
        <v>0.66</v>
      </c>
      <c r="T252" s="7" t="s">
        <v>257</v>
      </c>
    </row>
    <row r="253" spans="1:20" x14ac:dyDescent="0.25">
      <c r="A253" s="27" t="s">
        <v>294</v>
      </c>
      <c r="B253" s="19">
        <v>0.46</v>
      </c>
      <c r="C253" s="4">
        <v>1.95</v>
      </c>
      <c r="D253" s="52">
        <v>2</v>
      </c>
      <c r="E253" s="52">
        <v>1</v>
      </c>
      <c r="F253" s="5">
        <v>1</v>
      </c>
      <c r="G253" s="176">
        <v>4</v>
      </c>
      <c r="H253" s="15"/>
      <c r="I253" s="27" t="s">
        <v>46</v>
      </c>
      <c r="J253" s="27" t="s">
        <v>67</v>
      </c>
      <c r="K253" s="27"/>
      <c r="L253" s="27"/>
      <c r="M253" s="27"/>
      <c r="N253" s="27"/>
      <c r="O253" s="27"/>
      <c r="P253" s="27"/>
      <c r="Q253" s="27"/>
      <c r="R253" s="27" t="s">
        <v>261</v>
      </c>
      <c r="S253" s="27">
        <v>0.46</v>
      </c>
      <c r="T253" s="7" t="s">
        <v>257</v>
      </c>
    </row>
    <row r="254" spans="1:20" x14ac:dyDescent="0.25">
      <c r="A254" s="27" t="s">
        <v>295</v>
      </c>
      <c r="B254" s="18">
        <v>0.38</v>
      </c>
      <c r="C254" s="4">
        <v>1.89</v>
      </c>
      <c r="D254" s="52">
        <v>2</v>
      </c>
      <c r="E254" s="52">
        <v>1</v>
      </c>
      <c r="F254" s="5">
        <v>2</v>
      </c>
      <c r="G254" s="176">
        <v>4</v>
      </c>
      <c r="H254" s="15"/>
      <c r="I254" s="27"/>
      <c r="J254" s="27" t="s">
        <v>67</v>
      </c>
      <c r="K254" s="27"/>
      <c r="L254" s="27"/>
      <c r="M254" s="27"/>
      <c r="N254" s="27"/>
      <c r="O254" s="27"/>
      <c r="P254" s="27"/>
      <c r="Q254" s="27"/>
      <c r="R254" s="27" t="s">
        <v>261</v>
      </c>
      <c r="S254" s="27">
        <v>0.38</v>
      </c>
      <c r="T254" s="7" t="s">
        <v>257</v>
      </c>
    </row>
    <row r="255" spans="1:20" x14ac:dyDescent="0.25">
      <c r="A255" s="27" t="s">
        <v>296</v>
      </c>
      <c r="B255" s="18">
        <v>0.28999999999999998</v>
      </c>
      <c r="C255" s="4">
        <v>3.73</v>
      </c>
      <c r="D255" s="52">
        <v>2</v>
      </c>
      <c r="E255" s="52">
        <v>1</v>
      </c>
      <c r="F255" s="5">
        <v>2</v>
      </c>
      <c r="G255" s="176">
        <v>4</v>
      </c>
      <c r="H255" s="15"/>
      <c r="I255" s="27" t="s">
        <v>46</v>
      </c>
      <c r="J255" s="27" t="s">
        <v>67</v>
      </c>
      <c r="K255" s="27"/>
      <c r="L255" s="27"/>
      <c r="M255" s="27"/>
      <c r="N255" s="27"/>
      <c r="O255" s="27"/>
      <c r="P255" s="27"/>
      <c r="Q255" s="27"/>
      <c r="R255" s="27" t="s">
        <v>261</v>
      </c>
      <c r="S255" s="27">
        <v>0.28999999999999998</v>
      </c>
      <c r="T255" s="7" t="s">
        <v>257</v>
      </c>
    </row>
    <row r="256" spans="1:20" x14ac:dyDescent="0.25">
      <c r="A256" s="27" t="s">
        <v>297</v>
      </c>
      <c r="B256" s="14">
        <v>0.61</v>
      </c>
      <c r="C256" s="4">
        <v>2.04</v>
      </c>
      <c r="D256" s="52">
        <v>1</v>
      </c>
      <c r="E256" s="52">
        <v>1</v>
      </c>
      <c r="F256" s="5">
        <v>2</v>
      </c>
      <c r="G256" s="176">
        <v>4</v>
      </c>
      <c r="H256" s="15"/>
      <c r="I256" s="27" t="s">
        <v>46</v>
      </c>
      <c r="J256" s="27" t="s">
        <v>67</v>
      </c>
      <c r="K256" s="27"/>
      <c r="L256" s="27"/>
      <c r="M256" s="27"/>
      <c r="N256" s="27"/>
      <c r="O256" s="27"/>
      <c r="P256" s="27"/>
      <c r="Q256" s="27"/>
      <c r="R256" s="27" t="s">
        <v>261</v>
      </c>
      <c r="S256" s="27">
        <v>0.61</v>
      </c>
      <c r="T256" s="7" t="s">
        <v>257</v>
      </c>
    </row>
    <row r="257" spans="1:20" x14ac:dyDescent="0.25">
      <c r="A257" s="27" t="s">
        <v>298</v>
      </c>
      <c r="B257" s="19">
        <v>0.56000000000000005</v>
      </c>
      <c r="C257" s="4">
        <v>1.99</v>
      </c>
      <c r="D257" s="52">
        <v>1</v>
      </c>
      <c r="E257" s="52">
        <v>1</v>
      </c>
      <c r="F257" s="5">
        <v>1</v>
      </c>
      <c r="G257" s="176">
        <v>4</v>
      </c>
      <c r="H257" s="15"/>
      <c r="I257" s="27"/>
      <c r="J257" s="27"/>
      <c r="K257" s="27"/>
      <c r="L257" s="27"/>
      <c r="M257" s="27"/>
      <c r="N257" s="27"/>
      <c r="O257" s="27"/>
      <c r="P257" s="27"/>
      <c r="Q257" s="27"/>
      <c r="R257" s="27" t="s">
        <v>261</v>
      </c>
      <c r="S257" s="27">
        <v>0.56000000000000005</v>
      </c>
      <c r="T257" s="7" t="s">
        <v>257</v>
      </c>
    </row>
    <row r="258" spans="1:20" x14ac:dyDescent="0.25">
      <c r="A258" s="27" t="s">
        <v>299</v>
      </c>
      <c r="B258" s="3">
        <v>0.99</v>
      </c>
      <c r="C258" s="4">
        <v>2</v>
      </c>
      <c r="D258" s="52">
        <v>3</v>
      </c>
      <c r="E258" s="52">
        <v>1</v>
      </c>
      <c r="F258" s="5">
        <v>7</v>
      </c>
      <c r="G258" s="176">
        <v>4</v>
      </c>
      <c r="H258" s="15"/>
      <c r="I258" s="27" t="s">
        <v>46</v>
      </c>
      <c r="J258" s="27" t="s">
        <v>67</v>
      </c>
      <c r="K258" s="27"/>
      <c r="L258" s="27"/>
      <c r="M258" s="27"/>
      <c r="N258" s="27"/>
      <c r="O258" s="27"/>
      <c r="P258" s="27"/>
      <c r="Q258" s="27"/>
      <c r="R258" s="27" t="s">
        <v>261</v>
      </c>
      <c r="S258" s="27">
        <v>0.99</v>
      </c>
      <c r="T258" s="7" t="s">
        <v>257</v>
      </c>
    </row>
    <row r="259" spans="1:20" x14ac:dyDescent="0.25">
      <c r="A259" s="27" t="s">
        <v>300</v>
      </c>
      <c r="B259" s="19">
        <v>0.46</v>
      </c>
      <c r="C259" s="4">
        <v>3.74</v>
      </c>
      <c r="D259" s="52">
        <v>4</v>
      </c>
      <c r="E259" s="52">
        <v>1</v>
      </c>
      <c r="F259" s="5">
        <v>2</v>
      </c>
      <c r="G259" s="176">
        <v>4</v>
      </c>
      <c r="H259" s="179">
        <v>2</v>
      </c>
      <c r="I259" s="27" t="s">
        <v>25</v>
      </c>
      <c r="J259" s="27" t="s">
        <v>67</v>
      </c>
      <c r="K259" s="27"/>
      <c r="L259" s="27"/>
      <c r="M259" s="27"/>
      <c r="N259" s="27"/>
      <c r="O259" s="27"/>
      <c r="P259" s="27"/>
      <c r="Q259" s="27"/>
      <c r="R259" s="27" t="s">
        <v>261</v>
      </c>
      <c r="S259" s="27">
        <v>0.46</v>
      </c>
      <c r="T259" s="7" t="s">
        <v>257</v>
      </c>
    </row>
    <row r="260" spans="1:20" x14ac:dyDescent="0.25">
      <c r="A260" s="27" t="s">
        <v>301</v>
      </c>
      <c r="B260" s="18">
        <v>0.37</v>
      </c>
      <c r="C260" s="4">
        <v>1.91</v>
      </c>
      <c r="D260" s="52">
        <v>2</v>
      </c>
      <c r="E260" s="52">
        <v>1</v>
      </c>
      <c r="F260" s="5">
        <v>1</v>
      </c>
      <c r="G260" s="176">
        <v>4</v>
      </c>
      <c r="H260" s="15"/>
      <c r="I260" s="27" t="s">
        <v>46</v>
      </c>
      <c r="J260" s="27" t="s">
        <v>67</v>
      </c>
      <c r="K260" s="27"/>
      <c r="L260" s="27"/>
      <c r="M260" s="27"/>
      <c r="N260" s="27"/>
      <c r="O260" s="27"/>
      <c r="P260" s="27"/>
      <c r="Q260" s="27"/>
      <c r="R260" s="27" t="s">
        <v>261</v>
      </c>
      <c r="S260" s="27">
        <v>0.37</v>
      </c>
      <c r="T260" s="7" t="s">
        <v>257</v>
      </c>
    </row>
    <row r="261" spans="1:20" x14ac:dyDescent="0.25">
      <c r="A261" s="27" t="s">
        <v>302</v>
      </c>
      <c r="B261" s="14">
        <v>0.63</v>
      </c>
      <c r="C261" s="4">
        <v>1.93</v>
      </c>
      <c r="D261" s="52">
        <v>2</v>
      </c>
      <c r="E261" s="52">
        <v>1</v>
      </c>
      <c r="F261" s="5">
        <v>1</v>
      </c>
      <c r="G261" s="176">
        <v>4</v>
      </c>
      <c r="H261" s="15"/>
      <c r="I261" s="27" t="s">
        <v>46</v>
      </c>
      <c r="J261" s="27" t="s">
        <v>67</v>
      </c>
      <c r="K261" s="27"/>
      <c r="L261" s="27"/>
      <c r="M261" s="27"/>
      <c r="N261" s="27"/>
      <c r="O261" s="27"/>
      <c r="P261" s="27"/>
      <c r="Q261" s="27"/>
      <c r="R261" s="27" t="s">
        <v>261</v>
      </c>
      <c r="S261" s="27">
        <v>0.63</v>
      </c>
      <c r="T261" s="7" t="s">
        <v>257</v>
      </c>
    </row>
    <row r="262" spans="1:20" x14ac:dyDescent="0.25">
      <c r="A262" s="27" t="s">
        <v>303</v>
      </c>
      <c r="B262" s="19">
        <v>0.4</v>
      </c>
      <c r="C262" s="4">
        <v>1.87</v>
      </c>
      <c r="D262" s="52">
        <v>2</v>
      </c>
      <c r="E262" s="52">
        <v>1</v>
      </c>
      <c r="F262" s="5">
        <v>2</v>
      </c>
      <c r="G262" s="176">
        <v>4</v>
      </c>
      <c r="H262" s="179">
        <v>1</v>
      </c>
      <c r="I262" s="27"/>
      <c r="J262" s="27" t="s">
        <v>67</v>
      </c>
      <c r="K262" s="27"/>
      <c r="L262" s="27"/>
      <c r="M262" s="27"/>
      <c r="N262" s="27"/>
      <c r="O262" s="27"/>
      <c r="P262" s="27"/>
      <c r="Q262" s="27"/>
      <c r="R262" s="27" t="s">
        <v>261</v>
      </c>
      <c r="S262" s="27">
        <v>0.4</v>
      </c>
      <c r="T262" s="7" t="s">
        <v>257</v>
      </c>
    </row>
    <row r="263" spans="1:20" x14ac:dyDescent="0.25">
      <c r="A263" s="27" t="s">
        <v>304</v>
      </c>
      <c r="B263" s="18">
        <v>0.37</v>
      </c>
      <c r="C263" s="4">
        <v>2.95</v>
      </c>
      <c r="D263" s="52">
        <v>2</v>
      </c>
      <c r="E263" s="52">
        <v>1</v>
      </c>
      <c r="F263" s="5">
        <v>2</v>
      </c>
      <c r="G263" s="176">
        <v>4</v>
      </c>
      <c r="H263" s="179">
        <v>1</v>
      </c>
      <c r="I263" s="27" t="s">
        <v>33</v>
      </c>
      <c r="J263" s="27" t="s">
        <v>40</v>
      </c>
      <c r="K263" s="27"/>
      <c r="L263" s="27"/>
      <c r="M263" s="27"/>
      <c r="N263" s="27"/>
      <c r="O263" s="27"/>
      <c r="P263" s="27"/>
      <c r="Q263" s="27"/>
      <c r="R263" s="27" t="s">
        <v>261</v>
      </c>
      <c r="S263" s="27">
        <v>0.37</v>
      </c>
      <c r="T263" s="7" t="s">
        <v>257</v>
      </c>
    </row>
    <row r="264" spans="1:20" x14ac:dyDescent="0.25">
      <c r="A264" s="27" t="s">
        <v>305</v>
      </c>
      <c r="B264" s="18">
        <v>0.31</v>
      </c>
      <c r="C264" s="4">
        <v>3.23</v>
      </c>
      <c r="D264" s="52">
        <v>2</v>
      </c>
      <c r="E264" s="52">
        <v>1</v>
      </c>
      <c r="F264" s="5">
        <v>2</v>
      </c>
      <c r="G264" s="176">
        <v>4</v>
      </c>
      <c r="H264" s="15"/>
      <c r="I264" s="27" t="s">
        <v>47</v>
      </c>
      <c r="J264" s="27" t="s">
        <v>67</v>
      </c>
      <c r="K264" s="27"/>
      <c r="L264" s="27"/>
      <c r="M264" s="27"/>
      <c r="N264" s="27"/>
      <c r="O264" s="27"/>
      <c r="P264" s="27"/>
      <c r="Q264" s="27"/>
      <c r="R264" s="27" t="s">
        <v>261</v>
      </c>
      <c r="S264" s="27">
        <v>0.31</v>
      </c>
      <c r="T264" s="7" t="s">
        <v>257</v>
      </c>
    </row>
    <row r="265" spans="1:20" x14ac:dyDescent="0.25">
      <c r="A265" s="27" t="s">
        <v>306</v>
      </c>
      <c r="B265" s="18">
        <v>0.34</v>
      </c>
      <c r="C265" s="4">
        <v>1.86</v>
      </c>
      <c r="D265" s="52">
        <v>2</v>
      </c>
      <c r="E265" s="52">
        <v>1</v>
      </c>
      <c r="F265" s="5">
        <v>2</v>
      </c>
      <c r="G265" s="176">
        <v>4</v>
      </c>
      <c r="H265" s="15"/>
      <c r="I265" s="27" t="s">
        <v>46</v>
      </c>
      <c r="J265" s="27" t="s">
        <v>67</v>
      </c>
      <c r="K265" s="27"/>
      <c r="L265" s="27"/>
      <c r="M265" s="27"/>
      <c r="N265" s="27"/>
      <c r="O265" s="27"/>
      <c r="P265" s="27"/>
      <c r="Q265" s="27"/>
      <c r="R265" s="27" t="s">
        <v>261</v>
      </c>
      <c r="S265" s="27">
        <v>0.34</v>
      </c>
      <c r="T265" s="7" t="s">
        <v>257</v>
      </c>
    </row>
    <row r="266" spans="1:20" x14ac:dyDescent="0.25">
      <c r="A266" s="27" t="s">
        <v>307</v>
      </c>
      <c r="B266" s="19">
        <v>0.5</v>
      </c>
      <c r="C266" s="4">
        <v>1.61</v>
      </c>
      <c r="D266" s="52">
        <v>2</v>
      </c>
      <c r="E266" s="52">
        <v>1</v>
      </c>
      <c r="F266" s="5">
        <v>2</v>
      </c>
      <c r="G266" s="176">
        <v>7</v>
      </c>
      <c r="H266" s="15"/>
      <c r="I266" s="27" t="s">
        <v>46</v>
      </c>
      <c r="J266" s="27" t="s">
        <v>67</v>
      </c>
      <c r="K266" s="27" t="s">
        <v>92</v>
      </c>
      <c r="L266" s="27"/>
      <c r="M266" s="27"/>
      <c r="N266" s="27"/>
      <c r="O266" s="27"/>
      <c r="P266" s="27"/>
      <c r="Q266" s="27"/>
      <c r="R266" s="27" t="s">
        <v>261</v>
      </c>
      <c r="S266" s="27">
        <v>0.5</v>
      </c>
      <c r="T266" s="7" t="s">
        <v>257</v>
      </c>
    </row>
    <row r="267" spans="1:20" x14ac:dyDescent="0.25">
      <c r="A267" s="27" t="s">
        <v>308</v>
      </c>
      <c r="B267" s="18">
        <v>0.38</v>
      </c>
      <c r="C267" s="4">
        <v>1.95</v>
      </c>
      <c r="D267" s="52">
        <v>2</v>
      </c>
      <c r="E267" s="52">
        <v>1</v>
      </c>
      <c r="F267" s="5">
        <v>2</v>
      </c>
      <c r="G267" s="176">
        <v>4</v>
      </c>
      <c r="H267" s="15"/>
      <c r="I267" s="27"/>
      <c r="J267" s="27" t="s">
        <v>40</v>
      </c>
      <c r="K267" s="27"/>
      <c r="L267" s="27"/>
      <c r="M267" s="27"/>
      <c r="N267" s="27"/>
      <c r="O267" s="27"/>
      <c r="P267" s="27"/>
      <c r="Q267" s="27"/>
      <c r="R267" s="27" t="s">
        <v>261</v>
      </c>
      <c r="S267" s="27">
        <v>0.38</v>
      </c>
      <c r="T267" s="7" t="s">
        <v>257</v>
      </c>
    </row>
    <row r="268" spans="1:20" x14ac:dyDescent="0.25">
      <c r="A268" s="27" t="s">
        <v>309</v>
      </c>
      <c r="B268" s="14">
        <v>0.67</v>
      </c>
      <c r="C268" s="4">
        <v>1.88</v>
      </c>
      <c r="D268" s="52">
        <v>1</v>
      </c>
      <c r="E268" s="52">
        <v>1</v>
      </c>
      <c r="F268" s="5">
        <v>1</v>
      </c>
      <c r="G268" s="176">
        <v>4</v>
      </c>
      <c r="H268" s="15"/>
      <c r="I268" s="27"/>
      <c r="J268" s="27" t="s">
        <v>67</v>
      </c>
      <c r="K268" s="27"/>
      <c r="L268" s="27"/>
      <c r="M268" s="27" t="s">
        <v>33</v>
      </c>
      <c r="N268" s="27" t="s">
        <v>25</v>
      </c>
      <c r="O268" s="27"/>
      <c r="P268" s="27"/>
      <c r="Q268" s="27"/>
      <c r="R268" s="27" t="s">
        <v>261</v>
      </c>
      <c r="S268" s="27">
        <v>0.67</v>
      </c>
      <c r="T268" s="7" t="s">
        <v>257</v>
      </c>
    </row>
    <row r="269" spans="1:20" x14ac:dyDescent="0.25">
      <c r="A269" s="27" t="s">
        <v>310</v>
      </c>
      <c r="B269" s="19">
        <v>0.52</v>
      </c>
      <c r="C269" s="4">
        <v>3.45</v>
      </c>
      <c r="D269" s="52">
        <v>2</v>
      </c>
      <c r="E269" s="52">
        <v>1</v>
      </c>
      <c r="F269" s="5">
        <v>1</v>
      </c>
      <c r="G269" s="176"/>
      <c r="H269" s="15"/>
      <c r="I269" s="27" t="s">
        <v>46</v>
      </c>
      <c r="J269" s="27" t="s">
        <v>67</v>
      </c>
      <c r="K269" s="27"/>
      <c r="L269" s="27"/>
      <c r="M269" s="27"/>
      <c r="N269" s="27"/>
      <c r="O269" s="27"/>
      <c r="P269" s="27"/>
      <c r="Q269" s="27"/>
      <c r="R269" s="27" t="s">
        <v>261</v>
      </c>
      <c r="S269" s="27">
        <v>0.52</v>
      </c>
      <c r="T269" s="7" t="s">
        <v>257</v>
      </c>
    </row>
    <row r="270" spans="1:20" x14ac:dyDescent="0.25">
      <c r="A270" s="27" t="s">
        <v>311</v>
      </c>
      <c r="B270" s="14">
        <v>0.64</v>
      </c>
      <c r="C270" s="4">
        <v>1.91</v>
      </c>
      <c r="D270" s="52">
        <v>2</v>
      </c>
      <c r="E270" s="52">
        <v>1</v>
      </c>
      <c r="F270" s="5">
        <v>2</v>
      </c>
      <c r="G270" s="176">
        <v>4</v>
      </c>
      <c r="H270" s="179">
        <v>2</v>
      </c>
      <c r="I270" s="27" t="s">
        <v>46</v>
      </c>
      <c r="J270" s="27" t="s">
        <v>67</v>
      </c>
      <c r="K270" s="27"/>
      <c r="L270" s="27"/>
      <c r="M270" s="27"/>
      <c r="N270" s="27"/>
      <c r="O270" s="27"/>
      <c r="P270" s="27"/>
      <c r="Q270" s="27"/>
      <c r="R270" s="27" t="s">
        <v>261</v>
      </c>
      <c r="S270" s="27">
        <v>0.64</v>
      </c>
      <c r="T270" s="7" t="s">
        <v>257</v>
      </c>
    </row>
    <row r="271" spans="1:20" x14ac:dyDescent="0.25">
      <c r="A271" s="27" t="s">
        <v>312</v>
      </c>
      <c r="B271" s="18">
        <v>0.32</v>
      </c>
      <c r="C271" s="4">
        <v>2.93</v>
      </c>
      <c r="D271" s="52">
        <v>1</v>
      </c>
      <c r="E271" s="52">
        <v>1</v>
      </c>
      <c r="F271" s="5">
        <v>1</v>
      </c>
      <c r="G271" s="176">
        <v>4</v>
      </c>
      <c r="H271" s="179">
        <v>2</v>
      </c>
      <c r="I271" s="27" t="s">
        <v>46</v>
      </c>
      <c r="J271" s="27" t="s">
        <v>67</v>
      </c>
      <c r="K271" s="27"/>
      <c r="L271" s="27"/>
      <c r="M271" s="27"/>
      <c r="N271" s="27"/>
      <c r="O271" s="27"/>
      <c r="P271" s="27"/>
      <c r="Q271" s="27"/>
      <c r="R271" s="27" t="s">
        <v>261</v>
      </c>
      <c r="S271" s="27">
        <v>0.32</v>
      </c>
      <c r="T271" s="7" t="s">
        <v>257</v>
      </c>
    </row>
    <row r="272" spans="1:20" x14ac:dyDescent="0.25">
      <c r="A272" s="27" t="s">
        <v>313</v>
      </c>
      <c r="B272" s="18">
        <v>0.36</v>
      </c>
      <c r="C272" s="4">
        <v>1.98</v>
      </c>
      <c r="D272" s="52">
        <v>2</v>
      </c>
      <c r="E272" s="52">
        <v>1</v>
      </c>
      <c r="F272" s="5">
        <v>2</v>
      </c>
      <c r="G272" s="176">
        <v>4</v>
      </c>
      <c r="H272" s="179">
        <v>1</v>
      </c>
      <c r="I272" s="27" t="s">
        <v>46</v>
      </c>
      <c r="J272" s="27" t="s">
        <v>67</v>
      </c>
      <c r="K272" s="27"/>
      <c r="L272" s="27"/>
      <c r="M272" s="27"/>
      <c r="N272" s="27"/>
      <c r="O272" s="27"/>
      <c r="P272" s="27"/>
      <c r="Q272" s="27"/>
      <c r="R272" s="27" t="s">
        <v>261</v>
      </c>
      <c r="S272" s="27">
        <v>0.36</v>
      </c>
      <c r="T272" s="7" t="s">
        <v>257</v>
      </c>
    </row>
    <row r="273" spans="1:20" x14ac:dyDescent="0.25">
      <c r="A273" s="27" t="s">
        <v>314</v>
      </c>
      <c r="B273" s="19">
        <v>0.51</v>
      </c>
      <c r="C273" s="4">
        <v>2.62</v>
      </c>
      <c r="D273" s="52">
        <v>2</v>
      </c>
      <c r="E273" s="52">
        <v>1</v>
      </c>
      <c r="F273" s="5">
        <v>1</v>
      </c>
      <c r="G273" s="176">
        <v>4</v>
      </c>
      <c r="H273" s="179">
        <v>1</v>
      </c>
      <c r="I273" s="27" t="s">
        <v>26</v>
      </c>
      <c r="J273" s="27" t="s">
        <v>67</v>
      </c>
      <c r="K273" s="27"/>
      <c r="L273" s="27"/>
      <c r="M273" s="27"/>
      <c r="N273" s="27"/>
      <c r="O273" s="27"/>
      <c r="P273" s="27"/>
      <c r="Q273" s="27"/>
      <c r="R273" s="27" t="s">
        <v>261</v>
      </c>
      <c r="S273" s="27">
        <v>0.51</v>
      </c>
      <c r="T273" s="7" t="s">
        <v>257</v>
      </c>
    </row>
    <row r="274" spans="1:20" x14ac:dyDescent="0.25">
      <c r="A274" s="27" t="s">
        <v>315</v>
      </c>
      <c r="B274" s="18">
        <v>0.36</v>
      </c>
      <c r="C274" s="4">
        <v>2.8</v>
      </c>
      <c r="D274" s="52">
        <v>2</v>
      </c>
      <c r="E274" s="52">
        <v>1</v>
      </c>
      <c r="F274" s="5">
        <v>1</v>
      </c>
      <c r="G274" s="176"/>
      <c r="H274" s="179">
        <v>1</v>
      </c>
      <c r="I274" s="27" t="s">
        <v>33</v>
      </c>
      <c r="J274" s="27" t="s">
        <v>40</v>
      </c>
      <c r="K274" s="27"/>
      <c r="L274" s="27"/>
      <c r="M274" s="27"/>
      <c r="N274" s="27"/>
      <c r="O274" s="27"/>
      <c r="P274" s="27"/>
      <c r="Q274" s="27"/>
      <c r="R274" s="27" t="s">
        <v>261</v>
      </c>
      <c r="S274" s="27">
        <v>0.36</v>
      </c>
      <c r="T274" s="7" t="s">
        <v>257</v>
      </c>
    </row>
    <row r="275" spans="1:20" x14ac:dyDescent="0.25">
      <c r="A275" s="27" t="s">
        <v>316</v>
      </c>
      <c r="B275" s="14">
        <v>0.74</v>
      </c>
      <c r="C275" s="4">
        <v>1.77</v>
      </c>
      <c r="D275" s="52">
        <v>2</v>
      </c>
      <c r="E275" s="52">
        <v>1</v>
      </c>
      <c r="F275" s="5">
        <v>1</v>
      </c>
      <c r="G275" s="176">
        <v>4</v>
      </c>
      <c r="H275" s="179">
        <v>1</v>
      </c>
      <c r="I275" s="27" t="s">
        <v>46</v>
      </c>
      <c r="J275" s="27" t="s">
        <v>67</v>
      </c>
      <c r="K275" s="27"/>
      <c r="L275" s="27"/>
      <c r="M275" s="27"/>
      <c r="N275" s="27"/>
      <c r="O275" s="27"/>
      <c r="P275" s="27"/>
      <c r="Q275" s="27"/>
      <c r="R275" s="27" t="s">
        <v>261</v>
      </c>
      <c r="S275" s="27">
        <v>0.74</v>
      </c>
      <c r="T275" s="7" t="s">
        <v>257</v>
      </c>
    </row>
    <row r="276" spans="1:20" x14ac:dyDescent="0.25">
      <c r="A276" s="27" t="s">
        <v>317</v>
      </c>
      <c r="B276" s="19">
        <v>0.47</v>
      </c>
      <c r="C276" s="4">
        <v>1.85</v>
      </c>
      <c r="D276" s="52">
        <v>2</v>
      </c>
      <c r="E276" s="52">
        <v>1</v>
      </c>
      <c r="F276" s="5">
        <v>2</v>
      </c>
      <c r="G276" s="176">
        <v>4</v>
      </c>
      <c r="H276" s="179">
        <v>2</v>
      </c>
      <c r="I276" s="27" t="s">
        <v>46</v>
      </c>
      <c r="J276" s="27" t="s">
        <v>67</v>
      </c>
      <c r="K276" s="27"/>
      <c r="L276" s="27"/>
      <c r="M276" s="27"/>
      <c r="N276" s="27"/>
      <c r="O276" s="27"/>
      <c r="P276" s="27"/>
      <c r="Q276" s="27"/>
      <c r="R276" s="27" t="s">
        <v>261</v>
      </c>
      <c r="S276" s="27">
        <v>0.47</v>
      </c>
      <c r="T276" s="7" t="s">
        <v>257</v>
      </c>
    </row>
    <row r="277" spans="1:20" x14ac:dyDescent="0.25">
      <c r="A277" s="27" t="s">
        <v>318</v>
      </c>
      <c r="B277" s="19">
        <v>0.57999999999999996</v>
      </c>
      <c r="C277" s="4">
        <v>1.89</v>
      </c>
      <c r="D277" s="52">
        <v>2</v>
      </c>
      <c r="E277" s="52">
        <v>1</v>
      </c>
      <c r="F277" s="5">
        <v>1</v>
      </c>
      <c r="G277" s="176">
        <v>4</v>
      </c>
      <c r="H277" s="179">
        <v>1</v>
      </c>
      <c r="I277" s="27" t="s">
        <v>46</v>
      </c>
      <c r="J277" s="27" t="s">
        <v>67</v>
      </c>
      <c r="K277" s="27"/>
      <c r="L277" s="27"/>
      <c r="M277" s="27"/>
      <c r="N277" s="27"/>
      <c r="O277" s="27"/>
      <c r="P277" s="27"/>
      <c r="Q277" s="27"/>
      <c r="R277" s="27" t="s">
        <v>261</v>
      </c>
      <c r="S277" s="27">
        <v>0.57999999999999996</v>
      </c>
      <c r="T277" s="7" t="s">
        <v>257</v>
      </c>
    </row>
    <row r="278" spans="1:20" x14ac:dyDescent="0.25">
      <c r="A278" s="27" t="s">
        <v>319</v>
      </c>
      <c r="B278" s="14">
        <v>0.73</v>
      </c>
      <c r="C278" s="4">
        <v>1.61</v>
      </c>
      <c r="D278" s="52">
        <v>2</v>
      </c>
      <c r="E278" s="52">
        <v>1</v>
      </c>
      <c r="F278" s="5">
        <v>1</v>
      </c>
      <c r="G278" s="176">
        <v>4</v>
      </c>
      <c r="H278" s="179">
        <v>2</v>
      </c>
      <c r="I278" s="27"/>
      <c r="J278" s="27" t="s">
        <v>67</v>
      </c>
      <c r="K278" s="27"/>
      <c r="L278" s="27"/>
      <c r="M278" s="27"/>
      <c r="N278" s="27"/>
      <c r="O278" s="27"/>
      <c r="P278" s="27"/>
      <c r="Q278" s="27"/>
      <c r="R278" s="27" t="s">
        <v>261</v>
      </c>
      <c r="S278" s="27">
        <v>0.73</v>
      </c>
      <c r="T278" s="7" t="s">
        <v>257</v>
      </c>
    </row>
    <row r="279" spans="1:20" x14ac:dyDescent="0.25">
      <c r="A279" s="27" t="s">
        <v>320</v>
      </c>
      <c r="B279" s="19">
        <v>0.44</v>
      </c>
      <c r="C279" s="4">
        <v>1.98</v>
      </c>
      <c r="D279" s="52">
        <v>2</v>
      </c>
      <c r="E279" s="52">
        <v>1</v>
      </c>
      <c r="F279" s="5">
        <v>2</v>
      </c>
      <c r="G279" s="176">
        <v>4</v>
      </c>
      <c r="H279" s="179">
        <v>1</v>
      </c>
      <c r="I279" s="27" t="s">
        <v>46</v>
      </c>
      <c r="J279" s="27" t="s">
        <v>67</v>
      </c>
      <c r="K279" s="27"/>
      <c r="L279" s="27"/>
      <c r="M279" s="27"/>
      <c r="N279" s="27"/>
      <c r="O279" s="27"/>
      <c r="P279" s="27"/>
      <c r="Q279" s="27"/>
      <c r="R279" s="27" t="s">
        <v>261</v>
      </c>
      <c r="S279" s="27">
        <v>0.44</v>
      </c>
      <c r="T279" s="7" t="s">
        <v>257</v>
      </c>
    </row>
    <row r="280" spans="1:20" x14ac:dyDescent="0.25">
      <c r="A280" s="27" t="s">
        <v>321</v>
      </c>
      <c r="B280" s="14">
        <v>0.64</v>
      </c>
      <c r="C280" s="4">
        <v>1.77</v>
      </c>
      <c r="D280" s="52">
        <v>2</v>
      </c>
      <c r="E280" s="52">
        <v>1</v>
      </c>
      <c r="F280" s="5">
        <v>1</v>
      </c>
      <c r="G280" s="176">
        <v>4</v>
      </c>
      <c r="H280" s="179">
        <v>1</v>
      </c>
      <c r="I280" s="27" t="s">
        <v>46</v>
      </c>
      <c r="J280" s="27" t="s">
        <v>67</v>
      </c>
      <c r="K280" s="27"/>
      <c r="L280" s="27"/>
      <c r="M280" s="27"/>
      <c r="N280" s="27"/>
      <c r="O280" s="27"/>
      <c r="P280" s="27"/>
      <c r="Q280" s="27"/>
      <c r="R280" s="27" t="s">
        <v>261</v>
      </c>
      <c r="S280" s="27">
        <v>0.64</v>
      </c>
      <c r="T280" s="7" t="s">
        <v>257</v>
      </c>
    </row>
    <row r="281" spans="1:20" x14ac:dyDescent="0.25">
      <c r="A281" s="27" t="s">
        <v>322</v>
      </c>
      <c r="B281" s="18">
        <v>0.33</v>
      </c>
      <c r="C281" s="4">
        <v>2</v>
      </c>
      <c r="D281" s="52">
        <v>3</v>
      </c>
      <c r="E281" s="52">
        <v>1</v>
      </c>
      <c r="F281" s="5">
        <v>7</v>
      </c>
      <c r="G281" s="176">
        <v>4</v>
      </c>
      <c r="H281" s="15"/>
      <c r="I281" s="27"/>
      <c r="J281" s="27" t="s">
        <v>67</v>
      </c>
      <c r="K281" s="27"/>
      <c r="L281" s="27"/>
      <c r="M281" s="27"/>
      <c r="N281" s="27" t="s">
        <v>33</v>
      </c>
      <c r="O281" s="27"/>
      <c r="P281" s="27"/>
      <c r="Q281" s="27"/>
      <c r="R281" s="27" t="s">
        <v>261</v>
      </c>
      <c r="S281" s="27">
        <v>0.33</v>
      </c>
      <c r="T281" s="7" t="s">
        <v>257</v>
      </c>
    </row>
    <row r="282" spans="1:20" x14ac:dyDescent="0.25">
      <c r="A282" s="27" t="s">
        <v>323</v>
      </c>
      <c r="B282" s="18">
        <v>0.37</v>
      </c>
      <c r="C282" s="4">
        <v>3.31</v>
      </c>
      <c r="D282" s="52">
        <v>2</v>
      </c>
      <c r="E282" s="52">
        <v>1</v>
      </c>
      <c r="F282" s="5">
        <v>2</v>
      </c>
      <c r="G282" s="176">
        <v>4</v>
      </c>
      <c r="H282" s="179">
        <v>1</v>
      </c>
      <c r="I282" s="27" t="s">
        <v>26</v>
      </c>
      <c r="J282" s="27" t="s">
        <v>67</v>
      </c>
      <c r="K282" s="27"/>
      <c r="L282" s="27"/>
      <c r="M282" s="27"/>
      <c r="N282" s="27"/>
      <c r="O282" s="27"/>
      <c r="P282" s="27"/>
      <c r="Q282" s="27"/>
      <c r="R282" s="27" t="s">
        <v>261</v>
      </c>
      <c r="S282" s="27">
        <v>0.37</v>
      </c>
      <c r="T282" s="7" t="s">
        <v>257</v>
      </c>
    </row>
    <row r="283" spans="1:20" x14ac:dyDescent="0.25">
      <c r="A283" s="27" t="s">
        <v>324</v>
      </c>
      <c r="B283" s="14">
        <v>0.64</v>
      </c>
      <c r="C283" s="4">
        <v>1.65</v>
      </c>
      <c r="D283" s="52">
        <v>2</v>
      </c>
      <c r="E283" s="52">
        <v>1</v>
      </c>
      <c r="F283" s="5">
        <v>2</v>
      </c>
      <c r="G283" s="176">
        <v>4</v>
      </c>
      <c r="H283" s="179">
        <v>1</v>
      </c>
      <c r="I283" s="27" t="s">
        <v>33</v>
      </c>
      <c r="J283" s="27"/>
      <c r="K283" s="27" t="s">
        <v>109</v>
      </c>
      <c r="L283" s="27"/>
      <c r="M283" s="27" t="s">
        <v>64</v>
      </c>
      <c r="N283" s="27"/>
      <c r="O283" s="27"/>
      <c r="P283" s="27"/>
      <c r="Q283" s="27"/>
      <c r="R283" s="27" t="s">
        <v>261</v>
      </c>
      <c r="S283" s="27">
        <v>0.64</v>
      </c>
      <c r="T283" s="7" t="s">
        <v>257</v>
      </c>
    </row>
    <row r="284" spans="1:20" x14ac:dyDescent="0.25">
      <c r="A284" s="27" t="s">
        <v>325</v>
      </c>
      <c r="B284" s="19">
        <v>0.56999999999999995</v>
      </c>
      <c r="C284" s="4">
        <v>1.77</v>
      </c>
      <c r="D284" s="52">
        <v>2</v>
      </c>
      <c r="E284" s="52">
        <v>1</v>
      </c>
      <c r="F284" s="5">
        <v>1</v>
      </c>
      <c r="G284" s="176">
        <v>4</v>
      </c>
      <c r="H284" s="179">
        <v>1</v>
      </c>
      <c r="I284" s="27" t="s">
        <v>33</v>
      </c>
      <c r="J284" s="27" t="s">
        <v>67</v>
      </c>
      <c r="K284" s="27"/>
      <c r="L284" s="27"/>
      <c r="M284" s="27"/>
      <c r="N284" s="27"/>
      <c r="O284" s="27"/>
      <c r="P284" s="27"/>
      <c r="Q284" s="27"/>
      <c r="R284" s="27" t="s">
        <v>261</v>
      </c>
      <c r="S284" s="27">
        <v>0.56999999999999995</v>
      </c>
      <c r="T284" s="7" t="s">
        <v>257</v>
      </c>
    </row>
    <row r="285" spans="1:20" x14ac:dyDescent="0.25">
      <c r="A285" s="27" t="s">
        <v>326</v>
      </c>
      <c r="B285" s="19">
        <v>0.5</v>
      </c>
      <c r="C285" s="4">
        <v>1.91</v>
      </c>
      <c r="D285" s="52">
        <v>2</v>
      </c>
      <c r="E285" s="52">
        <v>1</v>
      </c>
      <c r="F285" s="5">
        <v>2</v>
      </c>
      <c r="G285" s="176">
        <v>4</v>
      </c>
      <c r="H285" s="179">
        <v>2</v>
      </c>
      <c r="I285" s="27" t="s">
        <v>46</v>
      </c>
      <c r="J285" s="27" t="s">
        <v>40</v>
      </c>
      <c r="K285" s="27"/>
      <c r="L285" s="27"/>
      <c r="M285" s="27"/>
      <c r="N285" s="27"/>
      <c r="O285" s="27"/>
      <c r="P285" s="27"/>
      <c r="Q285" s="27"/>
      <c r="R285" s="27" t="s">
        <v>261</v>
      </c>
      <c r="S285" s="27">
        <v>0.5</v>
      </c>
      <c r="T285" s="7" t="s">
        <v>257</v>
      </c>
    </row>
    <row r="286" spans="1:20" x14ac:dyDescent="0.25">
      <c r="A286" s="27" t="s">
        <v>327</v>
      </c>
      <c r="B286" s="19">
        <v>0.54</v>
      </c>
      <c r="C286" s="4">
        <v>1.93</v>
      </c>
      <c r="D286" s="52">
        <v>3</v>
      </c>
      <c r="E286" s="52">
        <v>1</v>
      </c>
      <c r="F286" s="5">
        <v>2</v>
      </c>
      <c r="G286" s="176">
        <v>4</v>
      </c>
      <c r="H286" s="179">
        <v>2</v>
      </c>
      <c r="I286" s="27"/>
      <c r="J286" s="27" t="s">
        <v>67</v>
      </c>
      <c r="K286" s="27"/>
      <c r="L286" s="27"/>
      <c r="M286" s="27"/>
      <c r="N286" s="27"/>
      <c r="O286" s="27"/>
      <c r="P286" s="27"/>
      <c r="Q286" s="27"/>
      <c r="R286" s="27" t="s">
        <v>261</v>
      </c>
      <c r="S286" s="27">
        <v>0.54</v>
      </c>
      <c r="T286" s="7" t="s">
        <v>257</v>
      </c>
    </row>
    <row r="287" spans="1:20" x14ac:dyDescent="0.25">
      <c r="A287" s="27" t="s">
        <v>328</v>
      </c>
      <c r="B287" s="14">
        <v>0.69</v>
      </c>
      <c r="C287" s="4">
        <v>2.0699999999999998</v>
      </c>
      <c r="D287" s="52">
        <v>1</v>
      </c>
      <c r="E287" s="52">
        <v>1</v>
      </c>
      <c r="F287" s="5">
        <v>1</v>
      </c>
      <c r="G287" s="176">
        <v>4</v>
      </c>
      <c r="H287" s="179">
        <v>1</v>
      </c>
      <c r="I287" s="27" t="s">
        <v>46</v>
      </c>
      <c r="J287" s="27" t="s">
        <v>67</v>
      </c>
      <c r="K287" s="27"/>
      <c r="L287" s="27"/>
      <c r="M287" s="27"/>
      <c r="N287" s="27"/>
      <c r="O287" s="27"/>
      <c r="P287" s="27"/>
      <c r="Q287" s="27"/>
      <c r="R287" s="27" t="s">
        <v>261</v>
      </c>
      <c r="S287" s="27">
        <v>0.69</v>
      </c>
      <c r="T287" s="7" t="s">
        <v>257</v>
      </c>
    </row>
    <row r="288" spans="1:20" x14ac:dyDescent="0.25">
      <c r="A288" s="27" t="s">
        <v>329</v>
      </c>
      <c r="B288" s="14">
        <v>0.61</v>
      </c>
      <c r="C288" s="4">
        <v>3.48</v>
      </c>
      <c r="D288" s="52">
        <v>1</v>
      </c>
      <c r="E288" s="52">
        <v>1</v>
      </c>
      <c r="F288" s="5">
        <v>2</v>
      </c>
      <c r="G288" s="176">
        <v>4</v>
      </c>
      <c r="H288" s="179">
        <v>1</v>
      </c>
      <c r="I288" s="27"/>
      <c r="J288" s="27" t="s">
        <v>67</v>
      </c>
      <c r="K288" s="27"/>
      <c r="L288" s="27"/>
      <c r="M288" s="27"/>
      <c r="N288" s="27"/>
      <c r="O288" s="27"/>
      <c r="P288" s="27"/>
      <c r="Q288" s="27"/>
      <c r="R288" s="27" t="s">
        <v>261</v>
      </c>
      <c r="S288" s="27">
        <v>0.61</v>
      </c>
      <c r="T288" s="7" t="s">
        <v>257</v>
      </c>
    </row>
    <row r="289" spans="1:20" x14ac:dyDescent="0.25">
      <c r="A289" s="27" t="s">
        <v>330</v>
      </c>
      <c r="B289" s="3">
        <v>0.81</v>
      </c>
      <c r="C289" s="4">
        <v>3.92</v>
      </c>
      <c r="D289" s="52">
        <v>4</v>
      </c>
      <c r="E289" s="52">
        <v>2</v>
      </c>
      <c r="F289" s="5">
        <v>2</v>
      </c>
      <c r="G289" s="176">
        <v>4</v>
      </c>
      <c r="H289" s="179">
        <v>1</v>
      </c>
      <c r="I289" s="27"/>
      <c r="J289" s="27"/>
      <c r="K289" s="27"/>
      <c r="L289" s="27"/>
      <c r="M289" s="27"/>
      <c r="N289" s="27"/>
      <c r="O289" s="27"/>
      <c r="P289" s="27"/>
      <c r="Q289" s="27"/>
      <c r="R289" s="27" t="s">
        <v>261</v>
      </c>
      <c r="S289" s="27">
        <v>0.81</v>
      </c>
      <c r="T289" s="7" t="s">
        <v>257</v>
      </c>
    </row>
    <row r="290" spans="1:20" x14ac:dyDescent="0.25">
      <c r="A290" s="27" t="s">
        <v>331</v>
      </c>
      <c r="B290" s="19">
        <v>0.46</v>
      </c>
      <c r="C290" s="4">
        <v>1.87</v>
      </c>
      <c r="D290" s="52">
        <v>2</v>
      </c>
      <c r="E290" s="52">
        <v>1</v>
      </c>
      <c r="F290" s="5">
        <v>2</v>
      </c>
      <c r="G290" s="176">
        <v>4</v>
      </c>
      <c r="H290" s="179">
        <v>1</v>
      </c>
      <c r="I290" s="27" t="s">
        <v>25</v>
      </c>
      <c r="J290" s="27" t="s">
        <v>67</v>
      </c>
      <c r="K290" s="27"/>
      <c r="L290" s="27"/>
      <c r="M290" s="27"/>
      <c r="N290" s="27"/>
      <c r="O290" s="27"/>
      <c r="P290" s="27"/>
      <c r="Q290" s="27"/>
      <c r="R290" s="27" t="s">
        <v>261</v>
      </c>
      <c r="S290" s="27">
        <v>0.46</v>
      </c>
      <c r="T290" s="7" t="s">
        <v>257</v>
      </c>
    </row>
    <row r="291" spans="1:20" x14ac:dyDescent="0.25">
      <c r="A291" s="27" t="s">
        <v>332</v>
      </c>
      <c r="B291" s="18">
        <v>0.38</v>
      </c>
      <c r="C291" s="4">
        <v>2.0699999999999998</v>
      </c>
      <c r="D291" s="52">
        <v>3</v>
      </c>
      <c r="E291" s="52">
        <v>1</v>
      </c>
      <c r="F291" s="5">
        <v>1</v>
      </c>
      <c r="G291" s="176">
        <v>4</v>
      </c>
      <c r="H291" s="179">
        <v>1</v>
      </c>
      <c r="I291" s="27"/>
      <c r="J291" s="27"/>
      <c r="K291" s="27"/>
      <c r="L291" s="27"/>
      <c r="M291" s="27"/>
      <c r="N291" s="27"/>
      <c r="O291" s="27" t="s">
        <v>46</v>
      </c>
      <c r="P291" s="27"/>
      <c r="Q291" s="27"/>
      <c r="R291" s="27" t="s">
        <v>261</v>
      </c>
      <c r="S291" s="27">
        <v>0.38</v>
      </c>
      <c r="T291" s="7" t="s">
        <v>257</v>
      </c>
    </row>
    <row r="292" spans="1:20" x14ac:dyDescent="0.25">
      <c r="A292" s="27" t="s">
        <v>333</v>
      </c>
      <c r="B292" s="19">
        <v>0.43</v>
      </c>
      <c r="C292" s="4">
        <v>1.87</v>
      </c>
      <c r="D292" s="52">
        <v>2</v>
      </c>
      <c r="E292" s="52">
        <v>1</v>
      </c>
      <c r="F292" s="5">
        <v>1</v>
      </c>
      <c r="G292" s="176">
        <v>4</v>
      </c>
      <c r="H292" s="179">
        <v>2</v>
      </c>
      <c r="I292" s="27"/>
      <c r="J292" s="27" t="s">
        <v>67</v>
      </c>
      <c r="K292" s="27"/>
      <c r="L292" s="27"/>
      <c r="M292" s="27"/>
      <c r="N292" s="27"/>
      <c r="O292" s="27"/>
      <c r="P292" s="27"/>
      <c r="Q292" s="27"/>
      <c r="R292" s="27" t="s">
        <v>261</v>
      </c>
      <c r="S292" s="27">
        <v>0.43</v>
      </c>
      <c r="T292" s="7" t="s">
        <v>257</v>
      </c>
    </row>
    <row r="293" spans="1:20" x14ac:dyDescent="0.25">
      <c r="A293" s="27" t="s">
        <v>334</v>
      </c>
      <c r="B293" s="18">
        <v>0.34</v>
      </c>
      <c r="C293" s="4">
        <v>1.88</v>
      </c>
      <c r="D293" s="52">
        <v>2</v>
      </c>
      <c r="E293" s="52">
        <v>1</v>
      </c>
      <c r="F293" s="5">
        <v>7</v>
      </c>
      <c r="G293" s="176">
        <v>4</v>
      </c>
      <c r="H293" s="179">
        <v>2</v>
      </c>
      <c r="I293" s="27" t="s">
        <v>46</v>
      </c>
      <c r="J293" s="27" t="s">
        <v>67</v>
      </c>
      <c r="K293" s="27"/>
      <c r="L293" s="27"/>
      <c r="M293" s="27"/>
      <c r="N293" s="27"/>
      <c r="O293" s="27"/>
      <c r="P293" s="27"/>
      <c r="Q293" s="27"/>
      <c r="R293" s="27" t="s">
        <v>261</v>
      </c>
      <c r="S293" s="27">
        <v>0.34</v>
      </c>
      <c r="T293" s="7" t="s">
        <v>257</v>
      </c>
    </row>
    <row r="294" spans="1:20" x14ac:dyDescent="0.25">
      <c r="A294" s="27" t="s">
        <v>335</v>
      </c>
      <c r="B294" s="19">
        <v>0.55000000000000004</v>
      </c>
      <c r="C294" s="4">
        <v>3.74</v>
      </c>
      <c r="D294" s="52">
        <v>2</v>
      </c>
      <c r="E294" s="52">
        <v>1</v>
      </c>
      <c r="F294" s="5">
        <v>1</v>
      </c>
      <c r="G294" s="176">
        <v>4</v>
      </c>
      <c r="H294" s="179">
        <v>1</v>
      </c>
      <c r="I294" s="27"/>
      <c r="J294" s="27" t="s">
        <v>67</v>
      </c>
      <c r="K294" s="27"/>
      <c r="L294" s="27"/>
      <c r="M294" s="27"/>
      <c r="N294" s="27" t="s">
        <v>33</v>
      </c>
      <c r="O294" s="27"/>
      <c r="P294" s="27"/>
      <c r="Q294" s="27"/>
      <c r="R294" s="27" t="s">
        <v>261</v>
      </c>
      <c r="S294" s="27">
        <v>0.55000000000000004</v>
      </c>
      <c r="T294" s="7" t="s">
        <v>257</v>
      </c>
    </row>
    <row r="295" spans="1:20" x14ac:dyDescent="0.25">
      <c r="G295" s="182"/>
    </row>
    <row r="296" spans="1:20" x14ac:dyDescent="0.25">
      <c r="G296" s="182"/>
    </row>
    <row r="297" spans="1:20" x14ac:dyDescent="0.25">
      <c r="G297" s="182"/>
    </row>
    <row r="298" spans="1:20" x14ac:dyDescent="0.25">
      <c r="G298" s="18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ST1. CHOL Sample Info</vt:lpstr>
      <vt:lpstr>ST2. Validation Gene Mutations</vt:lpstr>
      <vt:lpstr>ST3. Fusions</vt:lpstr>
      <vt:lpstr>ST4. Liver Genes</vt:lpstr>
      <vt:lpstr>ST5. Novel Gene Sets</vt:lpstr>
      <vt:lpstr>ST6. GSEA up C1</vt:lpstr>
      <vt:lpstr>ST7. Mito Chr Mod Genes</vt:lpstr>
      <vt:lpstr>ST8. CCA HCC PDAC Mut</vt:lpstr>
      <vt:lpstr>ST9. CHOL LIHC PAAD Samples</vt:lpstr>
    </vt:vector>
  </TitlesOfParts>
  <Company>M. D. Anderson Cancer Center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Kwong,Lawrence</dc:creator>
  <cp:lastModifiedBy>Kwong,Lawrence</cp:lastModifiedBy>
  <dcterms:created xsi:type="dcterms:W3CDTF">2016-01-19T21:42:35Z</dcterms:created>
  <dcterms:modified xsi:type="dcterms:W3CDTF">2017-01-19T16:18:59Z</dcterms:modified>
</cp:coreProperties>
</file>